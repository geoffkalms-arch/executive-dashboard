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Additions" sheetId="1" state="visible" r:id="rId1"/>
    <sheet name="Job Summary" sheetId="2" state="visible" r:id="rId2"/>
    <sheet name="Reference" sheetId="3" state="visible" r:id="rId3"/>
    <sheet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964"/>
      <sz val="10"/>
    </font>
    <font>
      <name val="Arial"/>
      <b val="1"/>
      <color rgb="00FFFFFF"/>
      <sz val="10"/>
    </font>
    <font>
      <name val="Arial"/>
      <color rgb="00404040"/>
      <sz val="10"/>
    </font>
    <font>
      <name val="Arial"/>
      <i val="1"/>
      <color rgb="00404040"/>
      <sz val="10"/>
    </font>
    <font>
      <name val="Arial"/>
      <i val="1"/>
      <color rgb="00A0A0A0"/>
      <sz val="9"/>
    </font>
    <font>
      <name val="Arial"/>
      <b val="1"/>
      <color rgb="00FFFFFF"/>
      <sz val="14"/>
    </font>
    <font>
      <name val="Arial"/>
      <b val="1"/>
      <color rgb="001F3964"/>
      <sz val="9"/>
    </font>
    <font>
      <name val="Arial"/>
      <b val="1"/>
      <color rgb="00404040"/>
      <sz val="10"/>
    </font>
    <font>
      <name val="Arial"/>
      <color rgb="00A0A0A0"/>
      <sz val="9"/>
    </font>
  </fonts>
  <fills count="7">
    <fill>
      <patternFill/>
    </fill>
    <fill>
      <patternFill patternType="gray125"/>
    </fill>
    <fill>
      <patternFill patternType="solid">
        <fgColor rgb="001F3964"/>
      </patternFill>
    </fill>
    <fill>
      <patternFill patternType="solid">
        <fgColor rgb="00FFC000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F2F4F6"/>
      </patternFill>
    </fill>
  </fills>
  <borders count="6">
    <border>
      <left/>
      <right/>
      <top/>
      <bottom/>
      <diagonal/>
    </border>
    <border>
      <left style="thin">
        <color rgb="00C0C8D4"/>
      </left>
      <right style="thin">
        <color rgb="00C0C8D4"/>
      </right>
      <top style="thin">
        <color rgb="00C0C8D4"/>
      </top>
      <bottom style="thin">
        <color rgb="00C0C8D4"/>
      </bottom>
    </border>
    <border>
      <left/>
      <right/>
      <top style="thin">
        <color rgb="00C0C8D4"/>
      </top>
      <bottom/>
      <diagonal/>
    </border>
    <border>
      <left/>
      <right style="thin">
        <color rgb="00C0C8D4"/>
      </right>
      <top style="thin">
        <color rgb="00C0C8D4"/>
      </top>
      <bottom/>
      <diagonal/>
    </border>
    <border>
      <left/>
      <right/>
      <top style="thin">
        <color rgb="00C0C8D4"/>
      </top>
      <bottom style="thin">
        <color rgb="00C0C8D4"/>
      </bottom>
      <diagonal/>
    </border>
    <border>
      <left/>
      <right style="thin">
        <color rgb="00C0C8D4"/>
      </right>
      <top style="thin">
        <color rgb="00C0C8D4"/>
      </top>
      <bottom style="thin">
        <color rgb="00C0C8D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5" borderId="1" pivotButton="0" quotePrefix="0" xfId="0"/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right" vertical="center"/>
    </xf>
    <xf numFmtId="1" fontId="3" fillId="2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1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1" fontId="4" fillId="6" borderId="1" applyAlignment="1" pivotButton="0" quotePrefix="0" xfId="0">
      <alignment vertical="center"/>
    </xf>
    <xf numFmtId="165" fontId="9" fillId="5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0" fillId="0" borderId="5" pivotButton="0" quotePrefix="0" xfId="0"/>
    <xf numFmtId="165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ont>
        <name val="Arial"/>
        <b val="1"/>
        <color rgb="00C00000"/>
      </font>
      <fill>
        <patternFill patternType="solid">
          <fgColor rgb="00FFF0F0"/>
        </patternFill>
      </fill>
    </dxf>
    <dxf>
      <font>
        <name val="Arial"/>
        <b val="1"/>
        <color rgb="00375C1B"/>
      </font>
      <fill>
        <patternFill patternType="solid">
          <fgColor rgb="00EFF8E8"/>
        </patternFill>
      </fill>
    </dxf>
    <dxf>
      <font>
        <name val="Arial"/>
        <b val="1"/>
        <color rgb="008B6200"/>
      </font>
      <fill>
        <patternFill patternType="solid">
          <fgColor rgb="00FFF8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BOM Additions — Qty &amp;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Trend'!C2</f>
            </strRef>
          </tx>
          <spPr>
            <a:solidFill>
              <a:srgbClr val="1F3964"/>
            </a:solidFill>
            <a:ln>
              <a:solidFill>
                <a:srgbClr val="1F3964"/>
              </a:solidFill>
              <a:prstDash val="solid"/>
            </a:ln>
          </spPr>
          <cat>
            <numRef>
              <f>'Monthly Trend'!$A$3:$A$15</f>
            </numRef>
          </cat>
          <val>
            <numRef>
              <f>'Monthly Trend'!$C$3:$C$15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'Monthly Trend'!D2</f>
            </strRef>
          </tx>
          <spPr>
            <a:ln w="25000">
              <a:solidFill>
                <a:srgbClr val="FFC00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'Monthly Trend'!$A$3:$A$15</f>
            </numRef>
          </cat>
          <val>
            <numRef>
              <f>'Monthly Trend'!$D$3:$D$15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# Additions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Value (AUD)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Value of BOM Additions (AUD)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Trend'!F2</f>
            </strRef>
          </tx>
          <spPr>
            <a:ln w="28000">
              <a:solidFill>
                <a:srgbClr val="4B2D8B"/>
              </a:solidFill>
              <a:prstDash val="solid"/>
            </a:ln>
          </spPr>
          <marker>
            <symbol val="diamond"/>
            <size val="5"/>
            <spPr>
              <a:ln>
                <a:prstDash val="solid"/>
              </a:ln>
            </spPr>
          </marker>
          <cat>
            <numRef>
              <f>'Monthly Trend'!$A$3:$A$15</f>
            </numRef>
          </cat>
          <val>
            <numRef>
              <f>'Monthly Trend'!$F$3:$F$15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Value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17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6" customWidth="1" min="4" max="4"/>
    <col width="16" customWidth="1" min="5" max="5"/>
    <col width="14" customWidth="1" min="6" max="6"/>
    <col width="16" customWidth="1" min="7" max="7"/>
    <col width="30" customWidth="1" min="8" max="8"/>
    <col width="7" customWidth="1" min="9" max="9"/>
    <col width="15" customWidth="1" min="10" max="10"/>
    <col width="15" customWidth="1" min="11" max="11"/>
    <col width="20" customWidth="1" min="12" max="12"/>
    <col width="18" customWidth="1" min="13" max="13"/>
    <col width="18" customWidth="1" min="14" max="14"/>
    <col width="20" customWidth="1" min="15" max="15"/>
    <col width="20" customWidth="1" min="16" max="16"/>
    <col width="15" customWidth="1" min="17" max="17"/>
    <col width="15" customWidth="1" min="18" max="18"/>
    <col width="16" customWidth="1" min="19" max="19"/>
    <col width="15" customWidth="1" min="20" max="20"/>
    <col width="16" customWidth="1" min="21" max="21"/>
    <col width="30" customWidth="1" min="22" max="22"/>
  </cols>
  <sheetData>
    <row r="1" ht="36" customHeight="1">
      <c r="A1" s="1" t="inlineStr">
        <is>
          <t>BOM Post-Release Addition Tracker</t>
        </is>
      </c>
      <c r="U1" s="2" t="inlineStr">
        <is>
          <t>Procurement Use</t>
        </is>
      </c>
    </row>
    <row r="2" ht="40" customHeight="1">
      <c r="A2" s="3" t="inlineStr">
        <is>
          <t>#</t>
        </is>
      </c>
      <c r="B2" s="3" t="inlineStr">
        <is>
          <t>Job No.</t>
        </is>
      </c>
      <c r="C2" s="3" t="inlineStr">
        <is>
          <t>Job Description</t>
        </is>
      </c>
      <c r="D2" s="3" t="inlineStr">
        <is>
          <t>BOM Release Date</t>
        </is>
      </c>
      <c r="E2" s="3" t="inlineStr">
        <is>
          <t>Addition Date</t>
        </is>
      </c>
      <c r="F2" s="3" t="inlineStr">
        <is>
          <t>Days After Release</t>
        </is>
      </c>
      <c r="G2" s="3" t="inlineStr">
        <is>
          <t>Part No.</t>
        </is>
      </c>
      <c r="H2" s="3" t="inlineStr">
        <is>
          <t>Part Description</t>
        </is>
      </c>
      <c r="I2" s="3" t="inlineStr">
        <is>
          <t>Qty</t>
        </is>
      </c>
      <c r="J2" s="3" t="inlineStr">
        <is>
          <t>Unit Cost (AUD)</t>
        </is>
      </c>
      <c r="K2" s="3" t="inlineStr">
        <is>
          <t>Total Cost (AUD)</t>
        </is>
      </c>
      <c r="L2" s="3" t="inlineStr">
        <is>
          <t>Reason Code</t>
        </is>
      </c>
      <c r="M2" s="3" t="inlineStr">
        <is>
          <t>Requested By</t>
        </is>
      </c>
      <c r="N2" s="3" t="inlineStr">
        <is>
          <t>Approved By</t>
        </is>
      </c>
      <c r="O2" s="3" t="inlineStr">
        <is>
          <t>Procurement Status</t>
        </is>
      </c>
      <c r="P2" s="3" t="inlineStr">
        <is>
          <t>Supplier</t>
        </is>
      </c>
      <c r="Q2" s="3" t="inlineStr">
        <is>
          <t>PO Number</t>
        </is>
      </c>
      <c r="R2" s="3" t="inlineStr">
        <is>
          <t>Required By</t>
        </is>
      </c>
      <c r="S2" s="3" t="inlineStr">
        <is>
          <t>Expected Delivery</t>
        </is>
      </c>
      <c r="T2" s="3" t="inlineStr">
        <is>
          <t>Actual Delivery</t>
        </is>
      </c>
      <c r="U2" s="3" t="inlineStr">
        <is>
          <t>Delivery Status</t>
        </is>
      </c>
      <c r="V2" s="3" t="inlineStr">
        <is>
          <t>Notes</t>
        </is>
      </c>
    </row>
    <row r="3" ht="20" customHeight="1">
      <c r="A3" s="4">
        <f>ROW()-2</f>
        <v/>
      </c>
      <c r="B3" s="5" t="inlineStr">
        <is>
          <t>801254</t>
        </is>
      </c>
      <c r="C3" s="5" t="inlineStr">
        <is>
          <t>Aviation Refueller Mk4</t>
        </is>
      </c>
      <c r="D3" s="49" t="n">
        <v>46231</v>
      </c>
      <c r="E3" s="49" t="n">
        <v>46239</v>
      </c>
      <c r="F3" s="7">
        <f>IF(AND(D3&lt;&gt;"",E3&lt;&gt;""),E3-D3,"")</f>
        <v/>
      </c>
      <c r="G3" s="5" t="inlineStr">
        <is>
          <t>HYD-SEAL-088</t>
        </is>
      </c>
      <c r="H3" s="5" t="inlineStr">
        <is>
          <t>Hydraulic seal kit — actuator arm</t>
        </is>
      </c>
      <c r="I3" s="7" t="n">
        <v>2</v>
      </c>
      <c r="J3" s="50" t="n">
        <v>145</v>
      </c>
      <c r="K3" s="50">
        <f>IF(AND(I3&lt;&gt;"",J3&lt;&gt;""),I3*J3,"")</f>
        <v/>
      </c>
      <c r="L3" s="5" t="inlineStr">
        <is>
          <t>Engineering Change</t>
        </is>
      </c>
      <c r="M3" s="5" t="inlineStr">
        <is>
          <t>T. Wallace</t>
        </is>
      </c>
      <c r="N3" s="5" t="inlineStr">
        <is>
          <t>G. Kalms</t>
        </is>
      </c>
      <c r="O3" s="5" t="inlineStr">
        <is>
          <t>Ordered</t>
        </is>
      </c>
      <c r="P3" s="5" t="inlineStr">
        <is>
          <t>Hydraforce Pty Ltd</t>
        </is>
      </c>
      <c r="Q3" s="5" t="inlineStr">
        <is>
          <t>PO-2026-0412</t>
        </is>
      </c>
      <c r="R3" s="49" t="n">
        <v>46254</v>
      </c>
      <c r="S3" s="49" t="n">
        <v>46252</v>
      </c>
      <c r="T3" s="49" t="n"/>
      <c r="U3" s="5">
        <f>IF(T3&lt;&gt;"","Received",IF(AND(S3&lt;&gt;"",S3&lt;TODAY()),"⚠ Overdue","On Track"))</f>
        <v/>
      </c>
      <c r="V3" s="9" t="inlineStr">
        <is>
          <t>Required before cab assembly — flagged by engineering 4/8</t>
        </is>
      </c>
    </row>
    <row r="4" ht="18" customHeight="1">
      <c r="A4" s="28">
        <f>IF(B4&lt;&gt;"",ROW()-2,"")</f>
        <v/>
      </c>
      <c r="B4" s="23" t="inlineStr">
        <is>
          <t>801235</t>
        </is>
      </c>
      <c r="C4" s="24" t="inlineStr"/>
      <c r="D4" s="51" t="n"/>
      <c r="E4" s="51" t="n"/>
      <c r="F4" s="13">
        <f>IF(AND(D4&lt;&gt;"",E4&lt;&gt;""),E4-D4,"")</f>
        <v/>
      </c>
      <c r="G4" s="24" t="inlineStr">
        <is>
          <t>10000-10-12</t>
        </is>
      </c>
      <c r="H4" s="24" t="inlineStr"/>
      <c r="I4" s="28" t="n">
        <v>1</v>
      </c>
      <c r="J4" s="52" t="n">
        <v>23.89</v>
      </c>
      <c r="K4" s="52">
        <f>IF(AND(I4&lt;&gt;"",J4&lt;&gt;""),I4*J4,"")</f>
        <v/>
      </c>
      <c r="L4" s="24" t="inlineStr"/>
      <c r="M4" s="24" t="inlineStr"/>
      <c r="N4" s="24" t="inlineStr"/>
      <c r="O4" s="24" t="inlineStr">
        <is>
          <t>Complete</t>
        </is>
      </c>
      <c r="P4" s="24" t="inlineStr">
        <is>
          <t>FROM STOCK</t>
        </is>
      </c>
      <c r="Q4" s="24" t="inlineStr"/>
      <c r="R4" s="51" t="n"/>
      <c r="S4" s="51" t="n"/>
      <c r="T4" s="51" t="n"/>
      <c r="U4" s="24">
        <f>IF(T4&lt;&gt;"","Received",IF(AND(S4&lt;&gt;"",S4&lt;TODAY()),"⚠ Overdue","On Track"))</f>
        <v/>
      </c>
      <c r="V4" s="24" t="inlineStr"/>
    </row>
    <row r="5" ht="18" customHeight="1">
      <c r="A5" s="34">
        <f>IF(B5&lt;&gt;"",ROW()-2,"")</f>
        <v/>
      </c>
      <c r="B5" s="29" t="inlineStr">
        <is>
          <t>801236</t>
        </is>
      </c>
      <c r="C5" s="30" t="inlineStr"/>
      <c r="D5" s="53" t="n"/>
      <c r="E5" s="53" t="n"/>
      <c r="F5" s="18">
        <f>IF(AND(D5&lt;&gt;"",E5&lt;&gt;""),E5-D5,"")</f>
        <v/>
      </c>
      <c r="G5" s="30" t="inlineStr">
        <is>
          <t>10000-10-12</t>
        </is>
      </c>
      <c r="H5" s="30" t="inlineStr"/>
      <c r="I5" s="34" t="n">
        <v>1</v>
      </c>
      <c r="J5" s="54" t="n">
        <v>23.89</v>
      </c>
      <c r="K5" s="54">
        <f>IF(AND(I5&lt;&gt;"",J5&lt;&gt;""),I5*J5,"")</f>
        <v/>
      </c>
      <c r="L5" s="30" t="inlineStr"/>
      <c r="M5" s="30" t="inlineStr"/>
      <c r="N5" s="30" t="inlineStr"/>
      <c r="O5" s="30" t="inlineStr">
        <is>
          <t>Complete</t>
        </is>
      </c>
      <c r="P5" s="30" t="inlineStr">
        <is>
          <t>FROM STOCK</t>
        </is>
      </c>
      <c r="Q5" s="30" t="inlineStr"/>
      <c r="R5" s="53" t="n"/>
      <c r="S5" s="53" t="n"/>
      <c r="T5" s="53" t="n"/>
      <c r="U5" s="30">
        <f>IF(T5&lt;&gt;"","Received",IF(AND(S5&lt;&gt;"",S5&lt;TODAY()),"⚠ Overdue","On Track"))</f>
        <v/>
      </c>
      <c r="V5" s="30" t="inlineStr"/>
    </row>
    <row r="6" ht="18" customHeight="1">
      <c r="A6" s="28">
        <f>IF(B6&lt;&gt;"",ROW()-2,"")</f>
        <v/>
      </c>
      <c r="B6" s="23" t="inlineStr">
        <is>
          <t>801235</t>
        </is>
      </c>
      <c r="C6" s="24" t="inlineStr"/>
      <c r="D6" s="51" t="n"/>
      <c r="E6" s="51" t="n"/>
      <c r="F6" s="13">
        <f>IF(AND(D6&lt;&gt;"",E6&lt;&gt;""),E6-D6,"")</f>
        <v/>
      </c>
      <c r="G6" s="24" t="inlineStr">
        <is>
          <t>10000-10-35</t>
        </is>
      </c>
      <c r="H6" s="24" t="inlineStr"/>
      <c r="I6" s="28" t="n">
        <v>2</v>
      </c>
      <c r="J6" s="52" t="n">
        <v>99.23999999999999</v>
      </c>
      <c r="K6" s="52">
        <f>IF(AND(I6&lt;&gt;"",J6&lt;&gt;""),I6*J6,"")</f>
        <v/>
      </c>
      <c r="L6" s="24" t="inlineStr"/>
      <c r="M6" s="24" t="inlineStr"/>
      <c r="N6" s="24" t="inlineStr"/>
      <c r="O6" s="24" t="inlineStr">
        <is>
          <t>Complete</t>
        </is>
      </c>
      <c r="P6" s="24" t="inlineStr">
        <is>
          <t>FROM STOCK</t>
        </is>
      </c>
      <c r="Q6" s="24" t="inlineStr"/>
      <c r="R6" s="51" t="n"/>
      <c r="S6" s="51" t="n"/>
      <c r="T6" s="51" t="n"/>
      <c r="U6" s="24">
        <f>IF(T6&lt;&gt;"","Received",IF(AND(S6&lt;&gt;"",S6&lt;TODAY()),"⚠ Overdue","On Track"))</f>
        <v/>
      </c>
      <c r="V6" s="24" t="inlineStr"/>
    </row>
    <row r="7" ht="18" customHeight="1">
      <c r="A7" s="34">
        <f>IF(B7&lt;&gt;"",ROW()-2,"")</f>
        <v/>
      </c>
      <c r="B7" s="29" t="inlineStr">
        <is>
          <t>801236</t>
        </is>
      </c>
      <c r="C7" s="30" t="inlineStr"/>
      <c r="D7" s="53" t="n"/>
      <c r="E7" s="53" t="n"/>
      <c r="F7" s="18">
        <f>IF(AND(D7&lt;&gt;"",E7&lt;&gt;""),E7-D7,"")</f>
        <v/>
      </c>
      <c r="G7" s="30" t="inlineStr">
        <is>
          <t>10000-10-35</t>
        </is>
      </c>
      <c r="H7" s="30" t="inlineStr"/>
      <c r="I7" s="34" t="n">
        <v>2</v>
      </c>
      <c r="J7" s="54" t="n">
        <v>99.23999999999999</v>
      </c>
      <c r="K7" s="54">
        <f>IF(AND(I7&lt;&gt;"",J7&lt;&gt;""),I7*J7,"")</f>
        <v/>
      </c>
      <c r="L7" s="30" t="inlineStr"/>
      <c r="M7" s="30" t="inlineStr"/>
      <c r="N7" s="30" t="inlineStr"/>
      <c r="O7" s="30" t="inlineStr">
        <is>
          <t>Complete</t>
        </is>
      </c>
      <c r="P7" s="30" t="inlineStr">
        <is>
          <t>FROM STOCK</t>
        </is>
      </c>
      <c r="Q7" s="30" t="inlineStr"/>
      <c r="R7" s="53" t="n"/>
      <c r="S7" s="53" t="n"/>
      <c r="T7" s="53" t="n"/>
      <c r="U7" s="30">
        <f>IF(T7&lt;&gt;"","Received",IF(AND(S7&lt;&gt;"",S7&lt;TODAY()),"⚠ Overdue","On Track"))</f>
        <v/>
      </c>
      <c r="V7" s="30" t="inlineStr"/>
    </row>
    <row r="8" ht="18" customHeight="1">
      <c r="A8" s="28">
        <f>IF(B8&lt;&gt;"",ROW()-2,"")</f>
        <v/>
      </c>
      <c r="B8" s="23" t="inlineStr">
        <is>
          <t>801235</t>
        </is>
      </c>
      <c r="C8" s="24" t="inlineStr"/>
      <c r="D8" s="51" t="n"/>
      <c r="E8" s="51" t="n"/>
      <c r="F8" s="13">
        <f>IF(AND(D8&lt;&gt;"",E8&lt;&gt;""),E8-D8,"")</f>
        <v/>
      </c>
      <c r="G8" s="24" t="inlineStr">
        <is>
          <t>10000-10-37</t>
        </is>
      </c>
      <c r="H8" s="24" t="inlineStr"/>
      <c r="I8" s="28" t="n">
        <v>1</v>
      </c>
      <c r="J8" s="52" t="n">
        <v>24</v>
      </c>
      <c r="K8" s="52">
        <f>IF(AND(I8&lt;&gt;"",J8&lt;&gt;""),I8*J8,"")</f>
        <v/>
      </c>
      <c r="L8" s="24" t="inlineStr"/>
      <c r="M8" s="24" t="inlineStr"/>
      <c r="N8" s="24" t="inlineStr"/>
      <c r="O8" s="24" t="inlineStr">
        <is>
          <t>Complete</t>
        </is>
      </c>
      <c r="P8" s="24" t="inlineStr">
        <is>
          <t>FROM STOCK</t>
        </is>
      </c>
      <c r="Q8" s="24" t="inlineStr"/>
      <c r="R8" s="51" t="n"/>
      <c r="S8" s="51" t="n"/>
      <c r="T8" s="51" t="n"/>
      <c r="U8" s="24">
        <f>IF(T8&lt;&gt;"","Received",IF(AND(S8&lt;&gt;"",S8&lt;TODAY()),"⚠ Overdue","On Track"))</f>
        <v/>
      </c>
      <c r="V8" s="24" t="inlineStr"/>
    </row>
    <row r="9" ht="18" customHeight="1">
      <c r="A9" s="34">
        <f>IF(B9&lt;&gt;"",ROW()-2,"")</f>
        <v/>
      </c>
      <c r="B9" s="29" t="inlineStr">
        <is>
          <t>801236</t>
        </is>
      </c>
      <c r="C9" s="30" t="inlineStr"/>
      <c r="D9" s="53" t="n"/>
      <c r="E9" s="53" t="n"/>
      <c r="F9" s="18">
        <f>IF(AND(D9&lt;&gt;"",E9&lt;&gt;""),E9-D9,"")</f>
        <v/>
      </c>
      <c r="G9" s="30" t="inlineStr">
        <is>
          <t>10000-10-37</t>
        </is>
      </c>
      <c r="H9" s="30" t="inlineStr"/>
      <c r="I9" s="34" t="n">
        <v>1</v>
      </c>
      <c r="J9" s="54" t="n">
        <v>24</v>
      </c>
      <c r="K9" s="54">
        <f>IF(AND(I9&lt;&gt;"",J9&lt;&gt;""),I9*J9,"")</f>
        <v/>
      </c>
      <c r="L9" s="30" t="inlineStr"/>
      <c r="M9" s="30" t="inlineStr"/>
      <c r="N9" s="30" t="inlineStr"/>
      <c r="O9" s="30" t="inlineStr">
        <is>
          <t>Complete</t>
        </is>
      </c>
      <c r="P9" s="30" t="inlineStr">
        <is>
          <t>FROM STOCK</t>
        </is>
      </c>
      <c r="Q9" s="30" t="inlineStr"/>
      <c r="R9" s="53" t="n"/>
      <c r="S9" s="53" t="n"/>
      <c r="T9" s="53" t="n"/>
      <c r="U9" s="30">
        <f>IF(T9&lt;&gt;"","Received",IF(AND(S9&lt;&gt;"",S9&lt;TODAY()),"⚠ Overdue","On Track"))</f>
        <v/>
      </c>
      <c r="V9" s="30" t="inlineStr"/>
    </row>
    <row r="10" ht="18" customHeight="1">
      <c r="A10" s="28">
        <f>IF(B10&lt;&gt;"",ROW()-2,"")</f>
        <v/>
      </c>
      <c r="B10" s="23" t="inlineStr">
        <is>
          <t>801235</t>
        </is>
      </c>
      <c r="C10" s="24" t="inlineStr"/>
      <c r="D10" s="51" t="n"/>
      <c r="E10" s="51" t="n"/>
      <c r="F10" s="13">
        <f>IF(AND(D10&lt;&gt;"",E10&lt;&gt;""),E10-D10,"")</f>
        <v/>
      </c>
      <c r="G10" s="24" t="inlineStr">
        <is>
          <t>10000-10-67</t>
        </is>
      </c>
      <c r="H10" s="24" t="inlineStr"/>
      <c r="I10" s="28" t="n">
        <v>1</v>
      </c>
      <c r="J10" s="52" t="n">
        <v>4.84</v>
      </c>
      <c r="K10" s="52">
        <f>IF(AND(I10&lt;&gt;"",J10&lt;&gt;""),I10*J10,"")</f>
        <v/>
      </c>
      <c r="L10" s="24" t="inlineStr"/>
      <c r="M10" s="24" t="inlineStr"/>
      <c r="N10" s="24" t="inlineStr"/>
      <c r="O10" s="24" t="inlineStr">
        <is>
          <t>Complete</t>
        </is>
      </c>
      <c r="P10" s="24" t="inlineStr">
        <is>
          <t>FROM STOCK</t>
        </is>
      </c>
      <c r="Q10" s="24" t="inlineStr"/>
      <c r="R10" s="51" t="n"/>
      <c r="S10" s="51" t="n"/>
      <c r="T10" s="51" t="n"/>
      <c r="U10" s="24">
        <f>IF(T10&lt;&gt;"","Received",IF(AND(S10&lt;&gt;"",S10&lt;TODAY()),"⚠ Overdue","On Track"))</f>
        <v/>
      </c>
      <c r="V10" s="24" t="inlineStr"/>
    </row>
    <row r="11" ht="18" customHeight="1">
      <c r="A11" s="34">
        <f>IF(B11&lt;&gt;"",ROW()-2,"")</f>
        <v/>
      </c>
      <c r="B11" s="29" t="inlineStr">
        <is>
          <t>801236</t>
        </is>
      </c>
      <c r="C11" s="30" t="inlineStr"/>
      <c r="D11" s="53" t="n"/>
      <c r="E11" s="53" t="n"/>
      <c r="F11" s="18">
        <f>IF(AND(D11&lt;&gt;"",E11&lt;&gt;""),E11-D11,"")</f>
        <v/>
      </c>
      <c r="G11" s="30" t="inlineStr">
        <is>
          <t>10000-10-67</t>
        </is>
      </c>
      <c r="H11" s="30" t="inlineStr"/>
      <c r="I11" s="34" t="n">
        <v>1</v>
      </c>
      <c r="J11" s="54" t="n">
        <v>4.84</v>
      </c>
      <c r="K11" s="54">
        <f>IF(AND(I11&lt;&gt;"",J11&lt;&gt;""),I11*J11,"")</f>
        <v/>
      </c>
      <c r="L11" s="30" t="inlineStr"/>
      <c r="M11" s="30" t="inlineStr"/>
      <c r="N11" s="30" t="inlineStr"/>
      <c r="O11" s="30" t="inlineStr">
        <is>
          <t>Complete</t>
        </is>
      </c>
      <c r="P11" s="30" t="inlineStr">
        <is>
          <t>FROM STOCK</t>
        </is>
      </c>
      <c r="Q11" s="30" t="inlineStr"/>
      <c r="R11" s="53" t="n"/>
      <c r="S11" s="53" t="n"/>
      <c r="T11" s="53" t="n"/>
      <c r="U11" s="30">
        <f>IF(T11&lt;&gt;"","Received",IF(AND(S11&lt;&gt;"",S11&lt;TODAY()),"⚠ Overdue","On Track"))</f>
        <v/>
      </c>
      <c r="V11" s="30" t="inlineStr"/>
    </row>
    <row r="12" ht="18" customHeight="1">
      <c r="A12" s="28">
        <f>IF(B12&lt;&gt;"",ROW()-2,"")</f>
        <v/>
      </c>
      <c r="B12" s="23" t="inlineStr">
        <is>
          <t>801216</t>
        </is>
      </c>
      <c r="C12" s="24" t="inlineStr"/>
      <c r="D12" s="51" t="n"/>
      <c r="E12" s="51" t="n"/>
      <c r="F12" s="13">
        <f>IF(AND(D12&lt;&gt;"",E12&lt;&gt;""),E12-D12,"")</f>
        <v/>
      </c>
      <c r="G12" s="24" t="inlineStr">
        <is>
          <t>25699-FLOW</t>
        </is>
      </c>
      <c r="H12" s="24" t="inlineStr">
        <is>
          <t>FLOW LABEL</t>
        </is>
      </c>
      <c r="I12" s="28" t="n">
        <v>1</v>
      </c>
      <c r="J12" s="52" t="n">
        <v>71.5</v>
      </c>
      <c r="K12" s="52">
        <f>IF(AND(I12&lt;&gt;"",J12&lt;&gt;""),I12*J12,"")</f>
        <v/>
      </c>
      <c r="L12" s="24" t="inlineStr"/>
      <c r="M12" s="24" t="inlineStr">
        <is>
          <t>Sri</t>
        </is>
      </c>
      <c r="N12" s="24" t="inlineStr"/>
      <c r="O12" s="24" t="inlineStr">
        <is>
          <t>Ordered</t>
        </is>
      </c>
      <c r="P12" s="24" t="inlineStr">
        <is>
          <t>Niddrie</t>
        </is>
      </c>
      <c r="Q12" s="24" t="inlineStr">
        <is>
          <t>PO119955</t>
        </is>
      </c>
      <c r="R12" s="51" t="n"/>
      <c r="S12" s="51" t="n"/>
      <c r="T12" s="51" t="n"/>
      <c r="U12" s="24">
        <f>IF(T12&lt;&gt;"","Received",IF(AND(S12&lt;&gt;"",S12&lt;TODAY()),"⚠ Overdue","On Track"))</f>
        <v/>
      </c>
      <c r="V12" s="24" t="inlineStr"/>
    </row>
    <row r="13" ht="18" customHeight="1">
      <c r="A13" s="34">
        <f>IF(B13&lt;&gt;"",ROW()-2,"")</f>
        <v/>
      </c>
      <c r="B13" s="29" t="inlineStr">
        <is>
          <t>801217</t>
        </is>
      </c>
      <c r="C13" s="30" t="inlineStr"/>
      <c r="D13" s="53" t="n"/>
      <c r="E13" s="53" t="n"/>
      <c r="F13" s="18">
        <f>IF(AND(D13&lt;&gt;"",E13&lt;&gt;""),E13-D13,"")</f>
        <v/>
      </c>
      <c r="G13" s="30" t="inlineStr">
        <is>
          <t>25699-FLOW</t>
        </is>
      </c>
      <c r="H13" s="30" t="inlineStr">
        <is>
          <t>FLOW LABEL</t>
        </is>
      </c>
      <c r="I13" s="34" t="n">
        <v>1</v>
      </c>
      <c r="J13" s="54" t="n">
        <v>71.5</v>
      </c>
      <c r="K13" s="54">
        <f>IF(AND(I13&lt;&gt;"",J13&lt;&gt;""),I13*J13,"")</f>
        <v/>
      </c>
      <c r="L13" s="30" t="inlineStr"/>
      <c r="M13" s="30" t="inlineStr">
        <is>
          <t>Sri</t>
        </is>
      </c>
      <c r="N13" s="30" t="inlineStr"/>
      <c r="O13" s="30" t="inlineStr">
        <is>
          <t>Ordered</t>
        </is>
      </c>
      <c r="P13" s="30" t="inlineStr">
        <is>
          <t>Niddrie</t>
        </is>
      </c>
      <c r="Q13" s="30" t="inlineStr">
        <is>
          <t>PO119955</t>
        </is>
      </c>
      <c r="R13" s="53" t="n"/>
      <c r="S13" s="53" t="n"/>
      <c r="T13" s="53" t="n"/>
      <c r="U13" s="30">
        <f>IF(T13&lt;&gt;"","Received",IF(AND(S13&lt;&gt;"",S13&lt;TODAY()),"⚠ Overdue","On Track"))</f>
        <v/>
      </c>
      <c r="V13" s="30" t="inlineStr"/>
    </row>
    <row r="14" ht="18" customHeight="1">
      <c r="A14" s="28">
        <f>IF(B14&lt;&gt;"",ROW()-2,"")</f>
        <v/>
      </c>
      <c r="B14" s="23" t="inlineStr">
        <is>
          <t>801218</t>
        </is>
      </c>
      <c r="C14" s="24" t="inlineStr"/>
      <c r="D14" s="51" t="n"/>
      <c r="E14" s="51" t="n"/>
      <c r="F14" s="13">
        <f>IF(AND(D14&lt;&gt;"",E14&lt;&gt;""),E14-D14,"")</f>
        <v/>
      </c>
      <c r="G14" s="24" t="inlineStr">
        <is>
          <t>25699-FLOW</t>
        </is>
      </c>
      <c r="H14" s="24" t="inlineStr">
        <is>
          <t>FLOW LABEL</t>
        </is>
      </c>
      <c r="I14" s="28" t="n">
        <v>1</v>
      </c>
      <c r="J14" s="52" t="n">
        <v>71.5</v>
      </c>
      <c r="K14" s="52">
        <f>IF(AND(I14&lt;&gt;"",J14&lt;&gt;""),I14*J14,"")</f>
        <v/>
      </c>
      <c r="L14" s="24" t="inlineStr"/>
      <c r="M14" s="24" t="inlineStr">
        <is>
          <t>Sri</t>
        </is>
      </c>
      <c r="N14" s="24" t="inlineStr"/>
      <c r="O14" s="24" t="inlineStr">
        <is>
          <t>Ordered</t>
        </is>
      </c>
      <c r="P14" s="24" t="inlineStr">
        <is>
          <t>Niddrie</t>
        </is>
      </c>
      <c r="Q14" s="24" t="inlineStr">
        <is>
          <t>PO119955</t>
        </is>
      </c>
      <c r="R14" s="51" t="n"/>
      <c r="S14" s="51" t="n"/>
      <c r="T14" s="51" t="n"/>
      <c r="U14" s="24">
        <f>IF(T14&lt;&gt;"","Received",IF(AND(S14&lt;&gt;"",S14&lt;TODAY()),"⚠ Overdue","On Track"))</f>
        <v/>
      </c>
      <c r="V14" s="24" t="inlineStr"/>
    </row>
    <row r="15" ht="18" customHeight="1">
      <c r="A15" s="34">
        <f>IF(B15&lt;&gt;"",ROW()-2,"")</f>
        <v/>
      </c>
      <c r="B15" s="29" t="inlineStr">
        <is>
          <t>801219</t>
        </is>
      </c>
      <c r="C15" s="30" t="inlineStr"/>
      <c r="D15" s="53" t="n"/>
      <c r="E15" s="53" t="n"/>
      <c r="F15" s="18">
        <f>IF(AND(D15&lt;&gt;"",E15&lt;&gt;""),E15-D15,"")</f>
        <v/>
      </c>
      <c r="G15" s="30" t="inlineStr">
        <is>
          <t>25699-FLOW</t>
        </is>
      </c>
      <c r="H15" s="30" t="inlineStr">
        <is>
          <t>FLOW LABEL</t>
        </is>
      </c>
      <c r="I15" s="34" t="n">
        <v>1</v>
      </c>
      <c r="J15" s="54" t="n">
        <v>71.5</v>
      </c>
      <c r="K15" s="54">
        <f>IF(AND(I15&lt;&gt;"",J15&lt;&gt;""),I15*J15,"")</f>
        <v/>
      </c>
      <c r="L15" s="30" t="inlineStr"/>
      <c r="M15" s="30" t="inlineStr">
        <is>
          <t>Sri</t>
        </is>
      </c>
      <c r="N15" s="30" t="inlineStr"/>
      <c r="O15" s="30" t="inlineStr">
        <is>
          <t>Ordered</t>
        </is>
      </c>
      <c r="P15" s="30" t="inlineStr">
        <is>
          <t>Niddrie</t>
        </is>
      </c>
      <c r="Q15" s="30" t="inlineStr">
        <is>
          <t>PO119955</t>
        </is>
      </c>
      <c r="R15" s="53" t="n"/>
      <c r="S15" s="53" t="n"/>
      <c r="T15" s="53" t="n"/>
      <c r="U15" s="30">
        <f>IF(T15&lt;&gt;"","Received",IF(AND(S15&lt;&gt;"",S15&lt;TODAY()),"⚠ Overdue","On Track"))</f>
        <v/>
      </c>
      <c r="V15" s="30" t="inlineStr"/>
    </row>
    <row r="16" ht="18" customHeight="1">
      <c r="A16" s="28">
        <f>IF(B16&lt;&gt;"",ROW()-2,"")</f>
        <v/>
      </c>
      <c r="B16" s="23" t="inlineStr">
        <is>
          <t>801237</t>
        </is>
      </c>
      <c r="C16" s="24" t="inlineStr"/>
      <c r="D16" s="51" t="n"/>
      <c r="E16" s="51" t="n"/>
      <c r="F16" s="13">
        <f>IF(AND(D16&lt;&gt;"",E16&lt;&gt;""),E16-D16,"")</f>
        <v/>
      </c>
      <c r="G16" s="24" t="inlineStr">
        <is>
          <t>25699-FLOW</t>
        </is>
      </c>
      <c r="H16" s="24" t="inlineStr">
        <is>
          <t>FLOW LABEL</t>
        </is>
      </c>
      <c r="I16" s="28" t="n">
        <v>1</v>
      </c>
      <c r="J16" s="52" t="n">
        <v>71.5</v>
      </c>
      <c r="K16" s="52">
        <f>IF(AND(I16&lt;&gt;"",J16&lt;&gt;""),I16*J16,"")</f>
        <v/>
      </c>
      <c r="L16" s="24" t="inlineStr"/>
      <c r="M16" s="24" t="inlineStr">
        <is>
          <t>Sri</t>
        </is>
      </c>
      <c r="N16" s="24" t="inlineStr"/>
      <c r="O16" s="24" t="inlineStr">
        <is>
          <t>Ordered</t>
        </is>
      </c>
      <c r="P16" s="24" t="inlineStr">
        <is>
          <t>Niddrie</t>
        </is>
      </c>
      <c r="Q16" s="24" t="inlineStr">
        <is>
          <t>PO119955</t>
        </is>
      </c>
      <c r="R16" s="51" t="n"/>
      <c r="S16" s="51" t="n"/>
      <c r="T16" s="51" t="n"/>
      <c r="U16" s="24">
        <f>IF(T16&lt;&gt;"","Received",IF(AND(S16&lt;&gt;"",S16&lt;TODAY()),"⚠ Overdue","On Track"))</f>
        <v/>
      </c>
      <c r="V16" s="24" t="inlineStr"/>
    </row>
    <row r="17" ht="18" customHeight="1">
      <c r="A17" s="34">
        <f>IF(B17&lt;&gt;"",ROW()-2,"")</f>
        <v/>
      </c>
      <c r="B17" s="29" t="inlineStr">
        <is>
          <t>801238</t>
        </is>
      </c>
      <c r="C17" s="30" t="inlineStr"/>
      <c r="D17" s="53" t="n"/>
      <c r="E17" s="53" t="n"/>
      <c r="F17" s="18">
        <f>IF(AND(D17&lt;&gt;"",E17&lt;&gt;""),E17-D17,"")</f>
        <v/>
      </c>
      <c r="G17" s="30" t="inlineStr">
        <is>
          <t>25699-FLOW</t>
        </is>
      </c>
      <c r="H17" s="30" t="inlineStr">
        <is>
          <t>FLOW LABEL</t>
        </is>
      </c>
      <c r="I17" s="34" t="n">
        <v>1</v>
      </c>
      <c r="J17" s="54" t="n">
        <v>71.5</v>
      </c>
      <c r="K17" s="54">
        <f>IF(AND(I17&lt;&gt;"",J17&lt;&gt;""),I17*J17,"")</f>
        <v/>
      </c>
      <c r="L17" s="30" t="inlineStr"/>
      <c r="M17" s="30" t="inlineStr">
        <is>
          <t>Sri</t>
        </is>
      </c>
      <c r="N17" s="30" t="inlineStr"/>
      <c r="O17" s="30" t="inlineStr">
        <is>
          <t>Ordered</t>
        </is>
      </c>
      <c r="P17" s="30" t="inlineStr">
        <is>
          <t>Niddrie</t>
        </is>
      </c>
      <c r="Q17" s="30" t="inlineStr">
        <is>
          <t>PO119955</t>
        </is>
      </c>
      <c r="R17" s="53" t="n"/>
      <c r="S17" s="53" t="n"/>
      <c r="T17" s="53" t="n"/>
      <c r="U17" s="30">
        <f>IF(T17&lt;&gt;"","Received",IF(AND(S17&lt;&gt;"",S17&lt;TODAY()),"⚠ Overdue","On Track"))</f>
        <v/>
      </c>
      <c r="V17" s="30" t="inlineStr"/>
    </row>
    <row r="18" ht="18" customHeight="1">
      <c r="A18" s="28">
        <f>IF(B18&lt;&gt;"",ROW()-2,"")</f>
        <v/>
      </c>
      <c r="B18" s="23" t="inlineStr">
        <is>
          <t>801239</t>
        </is>
      </c>
      <c r="C18" s="24" t="inlineStr"/>
      <c r="D18" s="51" t="n"/>
      <c r="E18" s="51" t="n"/>
      <c r="F18" s="13">
        <f>IF(AND(D18&lt;&gt;"",E18&lt;&gt;""),E18-D18,"")</f>
        <v/>
      </c>
      <c r="G18" s="24" t="inlineStr">
        <is>
          <t>25699-FLOW</t>
        </is>
      </c>
      <c r="H18" s="24" t="inlineStr">
        <is>
          <t>FLOW LABEL</t>
        </is>
      </c>
      <c r="I18" s="28" t="n">
        <v>1</v>
      </c>
      <c r="J18" s="52" t="n">
        <v>71.5</v>
      </c>
      <c r="K18" s="52">
        <f>IF(AND(I18&lt;&gt;"",J18&lt;&gt;""),I18*J18,"")</f>
        <v/>
      </c>
      <c r="L18" s="24" t="inlineStr"/>
      <c r="M18" s="24" t="inlineStr">
        <is>
          <t>Sri</t>
        </is>
      </c>
      <c r="N18" s="24" t="inlineStr"/>
      <c r="O18" s="24" t="inlineStr">
        <is>
          <t>Ordered</t>
        </is>
      </c>
      <c r="P18" s="24" t="inlineStr">
        <is>
          <t>Niddrie</t>
        </is>
      </c>
      <c r="Q18" s="24" t="inlineStr">
        <is>
          <t>PO119955</t>
        </is>
      </c>
      <c r="R18" s="51" t="n"/>
      <c r="S18" s="51" t="n"/>
      <c r="T18" s="51" t="n"/>
      <c r="U18" s="24">
        <f>IF(T18&lt;&gt;"","Received",IF(AND(S18&lt;&gt;"",S18&lt;TODAY()),"⚠ Overdue","On Track"))</f>
        <v/>
      </c>
      <c r="V18" s="24" t="inlineStr"/>
    </row>
    <row r="19" ht="18" customHeight="1">
      <c r="A19" s="34">
        <f>IF(B19&lt;&gt;"",ROW()-2,"")</f>
        <v/>
      </c>
      <c r="B19" s="29" t="inlineStr">
        <is>
          <t>801240</t>
        </is>
      </c>
      <c r="C19" s="30" t="inlineStr"/>
      <c r="D19" s="53" t="n"/>
      <c r="E19" s="53" t="n"/>
      <c r="F19" s="18">
        <f>IF(AND(D19&lt;&gt;"",E19&lt;&gt;""),E19-D19,"")</f>
        <v/>
      </c>
      <c r="G19" s="30" t="inlineStr">
        <is>
          <t>25699-FLOW</t>
        </is>
      </c>
      <c r="H19" s="30" t="inlineStr">
        <is>
          <t>FLOW LABEL</t>
        </is>
      </c>
      <c r="I19" s="34" t="n">
        <v>1</v>
      </c>
      <c r="J19" s="54" t="n">
        <v>71.5</v>
      </c>
      <c r="K19" s="54">
        <f>IF(AND(I19&lt;&gt;"",J19&lt;&gt;""),I19*J19,"")</f>
        <v/>
      </c>
      <c r="L19" s="30" t="inlineStr"/>
      <c r="M19" s="30" t="inlineStr">
        <is>
          <t>Sri</t>
        </is>
      </c>
      <c r="N19" s="30" t="inlineStr"/>
      <c r="O19" s="30" t="inlineStr">
        <is>
          <t>Ordered</t>
        </is>
      </c>
      <c r="P19" s="30" t="inlineStr">
        <is>
          <t>Niddrie</t>
        </is>
      </c>
      <c r="Q19" s="30" t="inlineStr">
        <is>
          <t>PO119955</t>
        </is>
      </c>
      <c r="R19" s="53" t="n"/>
      <c r="S19" s="53" t="n"/>
      <c r="T19" s="53" t="n"/>
      <c r="U19" s="30">
        <f>IF(T19&lt;&gt;"","Received",IF(AND(S19&lt;&gt;"",S19&lt;TODAY()),"⚠ Overdue","On Track"))</f>
        <v/>
      </c>
      <c r="V19" s="30" t="inlineStr"/>
    </row>
    <row r="20" ht="18" customHeight="1">
      <c r="A20" s="28">
        <f>IF(B20&lt;&gt;"",ROW()-2,"")</f>
        <v/>
      </c>
      <c r="B20" s="23" t="inlineStr">
        <is>
          <t>801241</t>
        </is>
      </c>
      <c r="C20" s="24" t="inlineStr"/>
      <c r="D20" s="51" t="n"/>
      <c r="E20" s="51" t="n"/>
      <c r="F20" s="13">
        <f>IF(AND(D20&lt;&gt;"",E20&lt;&gt;""),E20-D20,"")</f>
        <v/>
      </c>
      <c r="G20" s="24" t="inlineStr">
        <is>
          <t>25699-FLOW</t>
        </is>
      </c>
      <c r="H20" s="24" t="inlineStr">
        <is>
          <t>FLOW LABEL</t>
        </is>
      </c>
      <c r="I20" s="28" t="n">
        <v>1</v>
      </c>
      <c r="J20" s="52" t="n">
        <v>71.5</v>
      </c>
      <c r="K20" s="52">
        <f>IF(AND(I20&lt;&gt;"",J20&lt;&gt;""),I20*J20,"")</f>
        <v/>
      </c>
      <c r="L20" s="24" t="inlineStr"/>
      <c r="M20" s="24" t="inlineStr">
        <is>
          <t>Sri</t>
        </is>
      </c>
      <c r="N20" s="24" t="inlineStr"/>
      <c r="O20" s="24" t="inlineStr">
        <is>
          <t>Ordered</t>
        </is>
      </c>
      <c r="P20" s="24" t="inlineStr">
        <is>
          <t>Niddrie</t>
        </is>
      </c>
      <c r="Q20" s="24" t="inlineStr">
        <is>
          <t>PO119955</t>
        </is>
      </c>
      <c r="R20" s="51" t="n"/>
      <c r="S20" s="51" t="n"/>
      <c r="T20" s="51" t="n"/>
      <c r="U20" s="24">
        <f>IF(T20&lt;&gt;"","Received",IF(AND(S20&lt;&gt;"",S20&lt;TODAY()),"⚠ Overdue","On Track"))</f>
        <v/>
      </c>
      <c r="V20" s="24" t="inlineStr"/>
    </row>
    <row r="21" ht="18" customHeight="1">
      <c r="A21" s="34">
        <f>IF(B21&lt;&gt;"",ROW()-2,"")</f>
        <v/>
      </c>
      <c r="B21" s="29" t="inlineStr">
        <is>
          <t>801241</t>
        </is>
      </c>
      <c r="C21" s="30" t="inlineStr"/>
      <c r="D21" s="53" t="n"/>
      <c r="E21" s="53" t="n"/>
      <c r="F21" s="18">
        <f>IF(AND(D21&lt;&gt;"",E21&lt;&gt;""),E21-D21,"")</f>
        <v/>
      </c>
      <c r="G21" s="30" t="inlineStr">
        <is>
          <t>3000-03-05</t>
        </is>
      </c>
      <c r="H21" s="30" t="inlineStr">
        <is>
          <t>DEADMAN HANDLE TRAY LARGE</t>
        </is>
      </c>
      <c r="I21" s="34" t="n">
        <v>1</v>
      </c>
      <c r="J21" s="54" t="n">
        <v>118.72</v>
      </c>
      <c r="K21" s="54">
        <f>IF(AND(I21&lt;&gt;"",J21&lt;&gt;""),I21*J21,"")</f>
        <v/>
      </c>
      <c r="L21" s="30" t="inlineStr"/>
      <c r="M21" s="30" t="inlineStr"/>
      <c r="N21" s="30" t="inlineStr"/>
      <c r="O21" s="30" t="inlineStr">
        <is>
          <t>Ordered</t>
        </is>
      </c>
      <c r="P21" s="30" t="inlineStr">
        <is>
          <t>HUNT</t>
        </is>
      </c>
      <c r="Q21" s="30" t="inlineStr">
        <is>
          <t>PO119947</t>
        </is>
      </c>
      <c r="R21" s="53" t="n"/>
      <c r="S21" s="53" t="n"/>
      <c r="T21" s="53" t="n"/>
      <c r="U21" s="30">
        <f>IF(T21&lt;&gt;"","Received",IF(AND(S21&lt;&gt;"",S21&lt;TODAY()),"⚠ Overdue","On Track"))</f>
        <v/>
      </c>
      <c r="V21" s="30" t="inlineStr"/>
    </row>
    <row r="22" ht="18" customHeight="1">
      <c r="A22" s="28">
        <f>IF(B22&lt;&gt;"",ROW()-2,"")</f>
        <v/>
      </c>
      <c r="B22" s="23" t="inlineStr">
        <is>
          <t>801241</t>
        </is>
      </c>
      <c r="C22" s="24" t="inlineStr"/>
      <c r="D22" s="51" t="n"/>
      <c r="E22" s="51" t="n"/>
      <c r="F22" s="13">
        <f>IF(AND(D22&lt;&gt;"",E22&lt;&gt;""),E22-D22,"")</f>
        <v/>
      </c>
      <c r="G22" s="24" t="inlineStr">
        <is>
          <t>3000-32-161</t>
        </is>
      </c>
      <c r="H22" s="24" t="inlineStr">
        <is>
          <t>BRACKET VALVE OPERATION LABEL FLAT 4" MANNTEK</t>
        </is>
      </c>
      <c r="I22" s="28" t="n">
        <v>1</v>
      </c>
      <c r="J22" s="52" t="n">
        <v>6.8</v>
      </c>
      <c r="K22" s="52">
        <f>IF(AND(I22&lt;&gt;"",J22&lt;&gt;""),I22*J22,"")</f>
        <v/>
      </c>
      <c r="L22" s="24" t="inlineStr"/>
      <c r="M22" s="24" t="inlineStr"/>
      <c r="N22" s="24" t="inlineStr"/>
      <c r="O22" s="24" t="inlineStr">
        <is>
          <t>Ordered</t>
        </is>
      </c>
      <c r="P22" s="24" t="inlineStr">
        <is>
          <t>HUNT</t>
        </is>
      </c>
      <c r="Q22" s="24" t="inlineStr">
        <is>
          <t>PO119948</t>
        </is>
      </c>
      <c r="R22" s="51" t="n"/>
      <c r="S22" s="51" t="n"/>
      <c r="T22" s="51" t="n"/>
      <c r="U22" s="24">
        <f>IF(T22&lt;&gt;"","Received",IF(AND(S22&lt;&gt;"",S22&lt;TODAY()),"⚠ Overdue","On Track"))</f>
        <v/>
      </c>
      <c r="V22" s="24" t="inlineStr"/>
    </row>
    <row r="23" ht="18" customHeight="1">
      <c r="A23" s="34">
        <f>IF(B23&lt;&gt;"",ROW()-2,"")</f>
        <v/>
      </c>
      <c r="B23" s="29" t="inlineStr">
        <is>
          <t>801241</t>
        </is>
      </c>
      <c r="C23" s="30" t="inlineStr"/>
      <c r="D23" s="53" t="n"/>
      <c r="E23" s="53" t="n"/>
      <c r="F23" s="18">
        <f>IF(AND(D23&lt;&gt;"",E23&lt;&gt;""),E23-D23,"")</f>
        <v/>
      </c>
      <c r="G23" s="30" t="inlineStr">
        <is>
          <t>3000-32-55</t>
        </is>
      </c>
      <c r="H23" s="30" t="inlineStr">
        <is>
          <t>VALVE OPERATION LABEL BRACKET</t>
        </is>
      </c>
      <c r="I23" s="34" t="n">
        <v>3</v>
      </c>
      <c r="J23" s="54" t="n">
        <v>14.95</v>
      </c>
      <c r="K23" s="54">
        <f>IF(AND(I23&lt;&gt;"",J23&lt;&gt;""),I23*J23,"")</f>
        <v/>
      </c>
      <c r="L23" s="30" t="inlineStr"/>
      <c r="M23" s="30" t="inlineStr"/>
      <c r="N23" s="30" t="inlineStr"/>
      <c r="O23" s="30" t="inlineStr">
        <is>
          <t>Ordered</t>
        </is>
      </c>
      <c r="P23" s="30" t="inlineStr">
        <is>
          <t>HUNT</t>
        </is>
      </c>
      <c r="Q23" s="30" t="inlineStr">
        <is>
          <t>PO119949</t>
        </is>
      </c>
      <c r="R23" s="53" t="n"/>
      <c r="S23" s="53" t="n"/>
      <c r="T23" s="53" t="n"/>
      <c r="U23" s="30">
        <f>IF(T23&lt;&gt;"","Received",IF(AND(S23&lt;&gt;"",S23&lt;TODAY()),"⚠ Overdue","On Track"))</f>
        <v/>
      </c>
      <c r="V23" s="30" t="inlineStr"/>
    </row>
    <row r="24" ht="18" customHeight="1">
      <c r="A24" s="28">
        <f>IF(B24&lt;&gt;"",ROW()-2,"")</f>
        <v/>
      </c>
      <c r="B24" s="23" t="inlineStr">
        <is>
          <t>801216</t>
        </is>
      </c>
      <c r="C24" s="24" t="inlineStr"/>
      <c r="D24" s="51" t="n"/>
      <c r="E24" s="51" t="n"/>
      <c r="F24" s="13">
        <f>IF(AND(D24&lt;&gt;"",E24&lt;&gt;""),E24-D24,"")</f>
        <v/>
      </c>
      <c r="G24" s="24" t="inlineStr">
        <is>
          <t>4600-06-18</t>
        </is>
      </c>
      <c r="H24" s="24" t="inlineStr">
        <is>
          <t>OPW295 OVERWING NOZZLE INTERLOCK BRACKET</t>
        </is>
      </c>
      <c r="I24" s="28" t="n">
        <v>1</v>
      </c>
      <c r="J24" s="52" t="n">
        <v>148.64</v>
      </c>
      <c r="K24" s="52">
        <f>IF(AND(I24&lt;&gt;"",J24&lt;&gt;""),I24*J24,"")</f>
        <v/>
      </c>
      <c r="L24" s="24" t="inlineStr"/>
      <c r="M24" s="24" t="inlineStr"/>
      <c r="N24" s="24" t="inlineStr"/>
      <c r="O24" s="24" t="inlineStr">
        <is>
          <t>Ordered</t>
        </is>
      </c>
      <c r="P24" s="24" t="inlineStr">
        <is>
          <t>HUNT</t>
        </is>
      </c>
      <c r="Q24" s="24" t="inlineStr">
        <is>
          <t>PO119947</t>
        </is>
      </c>
      <c r="R24" s="51" t="n"/>
      <c r="S24" s="51" t="n"/>
      <c r="T24" s="51" t="n"/>
      <c r="U24" s="24">
        <f>IF(T24&lt;&gt;"","Received",IF(AND(S24&lt;&gt;"",S24&lt;TODAY()),"⚠ Overdue","On Track"))</f>
        <v/>
      </c>
      <c r="V24" s="24" t="inlineStr"/>
    </row>
    <row r="25" ht="18" customHeight="1">
      <c r="A25" s="34">
        <f>IF(B25&lt;&gt;"",ROW()-2,"")</f>
        <v/>
      </c>
      <c r="B25" s="29" t="inlineStr">
        <is>
          <t>801217</t>
        </is>
      </c>
      <c r="C25" s="30" t="inlineStr"/>
      <c r="D25" s="53" t="n"/>
      <c r="E25" s="53" t="n"/>
      <c r="F25" s="18">
        <f>IF(AND(D25&lt;&gt;"",E25&lt;&gt;""),E25-D25,"")</f>
        <v/>
      </c>
      <c r="G25" s="30" t="inlineStr">
        <is>
          <t>4600-06-18</t>
        </is>
      </c>
      <c r="H25" s="30" t="inlineStr">
        <is>
          <t>OPW295 OVERWING NOZZLE INTERLOCK BRACKET</t>
        </is>
      </c>
      <c r="I25" s="34" t="n">
        <v>1</v>
      </c>
      <c r="J25" s="54" t="n">
        <v>148.64</v>
      </c>
      <c r="K25" s="54">
        <f>IF(AND(I25&lt;&gt;"",J25&lt;&gt;""),I25*J25,"")</f>
        <v/>
      </c>
      <c r="L25" s="30" t="inlineStr"/>
      <c r="M25" s="30" t="inlineStr"/>
      <c r="N25" s="30" t="inlineStr"/>
      <c r="O25" s="30" t="inlineStr">
        <is>
          <t>Ordered</t>
        </is>
      </c>
      <c r="P25" s="30" t="inlineStr">
        <is>
          <t>HUNT</t>
        </is>
      </c>
      <c r="Q25" s="30" t="inlineStr">
        <is>
          <t>PO119948</t>
        </is>
      </c>
      <c r="R25" s="53" t="n"/>
      <c r="S25" s="53" t="n"/>
      <c r="T25" s="53" t="n"/>
      <c r="U25" s="30">
        <f>IF(T25&lt;&gt;"","Received",IF(AND(S25&lt;&gt;"",S25&lt;TODAY()),"⚠ Overdue","On Track"))</f>
        <v/>
      </c>
      <c r="V25" s="30" t="inlineStr"/>
    </row>
    <row r="26" ht="18" customHeight="1">
      <c r="A26" s="28">
        <f>IF(B26&lt;&gt;"",ROW()-2,"")</f>
        <v/>
      </c>
      <c r="B26" s="23" t="inlineStr">
        <is>
          <t>801218</t>
        </is>
      </c>
      <c r="C26" s="24" t="inlineStr"/>
      <c r="D26" s="51" t="n"/>
      <c r="E26" s="51" t="n"/>
      <c r="F26" s="13">
        <f>IF(AND(D26&lt;&gt;"",E26&lt;&gt;""),E26-D26,"")</f>
        <v/>
      </c>
      <c r="G26" s="24" t="inlineStr">
        <is>
          <t>4600-06-18</t>
        </is>
      </c>
      <c r="H26" s="24" t="inlineStr">
        <is>
          <t>OPW295 OVERWING NOZZLE INTERLOCK BRACKET</t>
        </is>
      </c>
      <c r="I26" s="28" t="n">
        <v>1</v>
      </c>
      <c r="J26" s="52" t="n">
        <v>148.64</v>
      </c>
      <c r="K26" s="52">
        <f>IF(AND(I26&lt;&gt;"",J26&lt;&gt;""),I26*J26,"")</f>
        <v/>
      </c>
      <c r="L26" s="24" t="inlineStr"/>
      <c r="M26" s="24" t="inlineStr"/>
      <c r="N26" s="24" t="inlineStr"/>
      <c r="O26" s="24" t="inlineStr">
        <is>
          <t>Ordered</t>
        </is>
      </c>
      <c r="P26" s="24" t="inlineStr">
        <is>
          <t>HUNT</t>
        </is>
      </c>
      <c r="Q26" s="24" t="inlineStr">
        <is>
          <t>PO119949</t>
        </is>
      </c>
      <c r="R26" s="51" t="n"/>
      <c r="S26" s="51" t="n"/>
      <c r="T26" s="51" t="n"/>
      <c r="U26" s="24">
        <f>IF(T26&lt;&gt;"","Received",IF(AND(S26&lt;&gt;"",S26&lt;TODAY()),"⚠ Overdue","On Track"))</f>
        <v/>
      </c>
      <c r="V26" s="24" t="inlineStr"/>
    </row>
    <row r="27" ht="18" customHeight="1">
      <c r="A27" s="34">
        <f>IF(B27&lt;&gt;"",ROW()-2,"")</f>
        <v/>
      </c>
      <c r="B27" s="29" t="inlineStr">
        <is>
          <t>801219</t>
        </is>
      </c>
      <c r="C27" s="30" t="inlineStr"/>
      <c r="D27" s="53" t="n"/>
      <c r="E27" s="53" t="n"/>
      <c r="F27" s="18">
        <f>IF(AND(D27&lt;&gt;"",E27&lt;&gt;""),E27-D27,"")</f>
        <v/>
      </c>
      <c r="G27" s="30" t="inlineStr">
        <is>
          <t>4600-06-18</t>
        </is>
      </c>
      <c r="H27" s="30" t="inlineStr">
        <is>
          <t>OPW295 OVERWING NOZZLE INTERLOCK BRACKET</t>
        </is>
      </c>
      <c r="I27" s="34" t="n">
        <v>1</v>
      </c>
      <c r="J27" s="54" t="n">
        <v>148.64</v>
      </c>
      <c r="K27" s="54">
        <f>IF(AND(I27&lt;&gt;"",J27&lt;&gt;""),I27*J27,"")</f>
        <v/>
      </c>
      <c r="L27" s="30" t="inlineStr"/>
      <c r="M27" s="30" t="inlineStr"/>
      <c r="N27" s="30" t="inlineStr"/>
      <c r="O27" s="30" t="inlineStr">
        <is>
          <t>Ordered</t>
        </is>
      </c>
      <c r="P27" s="30" t="inlineStr">
        <is>
          <t>HUNT</t>
        </is>
      </c>
      <c r="Q27" s="30" t="inlineStr">
        <is>
          <t>PO119950</t>
        </is>
      </c>
      <c r="R27" s="53" t="n"/>
      <c r="S27" s="53" t="n"/>
      <c r="T27" s="53" t="n"/>
      <c r="U27" s="30">
        <f>IF(T27&lt;&gt;"","Received",IF(AND(S27&lt;&gt;"",S27&lt;TODAY()),"⚠ Overdue","On Track"))</f>
        <v/>
      </c>
      <c r="V27" s="30" t="inlineStr"/>
    </row>
    <row r="28" ht="18" customHeight="1">
      <c r="A28" s="28">
        <f>IF(B28&lt;&gt;"",ROW()-2,"")</f>
        <v/>
      </c>
      <c r="B28" s="23" t="inlineStr">
        <is>
          <t>801237</t>
        </is>
      </c>
      <c r="C28" s="24" t="inlineStr"/>
      <c r="D28" s="51" t="n"/>
      <c r="E28" s="51" t="n"/>
      <c r="F28" s="13">
        <f>IF(AND(D28&lt;&gt;"",E28&lt;&gt;""),E28-D28,"")</f>
        <v/>
      </c>
      <c r="G28" s="24" t="inlineStr">
        <is>
          <t>4600-06-18</t>
        </is>
      </c>
      <c r="H28" s="24" t="inlineStr">
        <is>
          <t>OPW295 OVERWING NOZZLE INTERLOCK BRACKET</t>
        </is>
      </c>
      <c r="I28" s="28" t="n">
        <v>1</v>
      </c>
      <c r="J28" s="52" t="n">
        <v>148.64</v>
      </c>
      <c r="K28" s="52">
        <f>IF(AND(I28&lt;&gt;"",J28&lt;&gt;""),I28*J28,"")</f>
        <v/>
      </c>
      <c r="L28" s="24" t="inlineStr"/>
      <c r="M28" s="24" t="inlineStr"/>
      <c r="N28" s="24" t="inlineStr"/>
      <c r="O28" s="24" t="inlineStr">
        <is>
          <t>Ordered</t>
        </is>
      </c>
      <c r="P28" s="24" t="inlineStr">
        <is>
          <t>HUNT</t>
        </is>
      </c>
      <c r="Q28" s="24" t="inlineStr">
        <is>
          <t>PO119951</t>
        </is>
      </c>
      <c r="R28" s="51" t="n"/>
      <c r="S28" s="51" t="n"/>
      <c r="T28" s="51" t="n"/>
      <c r="U28" s="24">
        <f>IF(T28&lt;&gt;"","Received",IF(AND(S28&lt;&gt;"",S28&lt;TODAY()),"⚠ Overdue","On Track"))</f>
        <v/>
      </c>
      <c r="V28" s="24" t="inlineStr"/>
    </row>
    <row r="29" ht="18" customHeight="1">
      <c r="A29" s="34">
        <f>IF(B29&lt;&gt;"",ROW()-2,"")</f>
        <v/>
      </c>
      <c r="B29" s="29" t="inlineStr">
        <is>
          <t>801238</t>
        </is>
      </c>
      <c r="C29" s="30" t="inlineStr"/>
      <c r="D29" s="53" t="n"/>
      <c r="E29" s="53" t="n"/>
      <c r="F29" s="18">
        <f>IF(AND(D29&lt;&gt;"",E29&lt;&gt;""),E29-D29,"")</f>
        <v/>
      </c>
      <c r="G29" s="30" t="inlineStr">
        <is>
          <t>4600-06-18</t>
        </is>
      </c>
      <c r="H29" s="30" t="inlineStr">
        <is>
          <t>OPW295 OVERWING NOZZLE INTERLOCK BRACKET</t>
        </is>
      </c>
      <c r="I29" s="34" t="n">
        <v>1</v>
      </c>
      <c r="J29" s="54" t="n">
        <v>148.64</v>
      </c>
      <c r="K29" s="54">
        <f>IF(AND(I29&lt;&gt;"",J29&lt;&gt;""),I29*J29,"")</f>
        <v/>
      </c>
      <c r="L29" s="30" t="inlineStr"/>
      <c r="M29" s="30" t="inlineStr"/>
      <c r="N29" s="30" t="inlineStr"/>
      <c r="O29" s="30" t="inlineStr">
        <is>
          <t>Ordered</t>
        </is>
      </c>
      <c r="P29" s="30" t="inlineStr">
        <is>
          <t>HUNT</t>
        </is>
      </c>
      <c r="Q29" s="30" t="inlineStr">
        <is>
          <t>PO119952</t>
        </is>
      </c>
      <c r="R29" s="53" t="n"/>
      <c r="S29" s="53" t="n"/>
      <c r="T29" s="53" t="n"/>
      <c r="U29" s="30">
        <f>IF(T29&lt;&gt;"","Received",IF(AND(S29&lt;&gt;"",S29&lt;TODAY()),"⚠ Overdue","On Track"))</f>
        <v/>
      </c>
      <c r="V29" s="30" t="inlineStr"/>
    </row>
    <row r="30" ht="18" customHeight="1">
      <c r="A30" s="28">
        <f>IF(B30&lt;&gt;"",ROW()-2,"")</f>
        <v/>
      </c>
      <c r="B30" s="23" t="inlineStr">
        <is>
          <t>801239</t>
        </is>
      </c>
      <c r="C30" s="24" t="inlineStr"/>
      <c r="D30" s="51" t="n"/>
      <c r="E30" s="51" t="n"/>
      <c r="F30" s="13">
        <f>IF(AND(D30&lt;&gt;"",E30&lt;&gt;""),E30-D30,"")</f>
        <v/>
      </c>
      <c r="G30" s="24" t="inlineStr">
        <is>
          <t>4600-06-18</t>
        </is>
      </c>
      <c r="H30" s="24" t="inlineStr">
        <is>
          <t>OPW295 OVERWING NOZZLE INTERLOCK BRACKET</t>
        </is>
      </c>
      <c r="I30" s="28" t="n">
        <v>1</v>
      </c>
      <c r="J30" s="52" t="n">
        <v>148.64</v>
      </c>
      <c r="K30" s="52">
        <f>IF(AND(I30&lt;&gt;"",J30&lt;&gt;""),I30*J30,"")</f>
        <v/>
      </c>
      <c r="L30" s="24" t="inlineStr"/>
      <c r="M30" s="24" t="inlineStr"/>
      <c r="N30" s="24" t="inlineStr"/>
      <c r="O30" s="24" t="inlineStr">
        <is>
          <t>Ordered</t>
        </is>
      </c>
      <c r="P30" s="24" t="inlineStr">
        <is>
          <t>HUNT</t>
        </is>
      </c>
      <c r="Q30" s="24" t="inlineStr">
        <is>
          <t>PO119953</t>
        </is>
      </c>
      <c r="R30" s="51" t="n"/>
      <c r="S30" s="51" t="n"/>
      <c r="T30" s="51" t="n"/>
      <c r="U30" s="24">
        <f>IF(T30&lt;&gt;"","Received",IF(AND(S30&lt;&gt;"",S30&lt;TODAY()),"⚠ Overdue","On Track"))</f>
        <v/>
      </c>
      <c r="V30" s="24" t="inlineStr"/>
    </row>
    <row r="31" ht="18" customHeight="1">
      <c r="A31" s="34">
        <f>IF(B31&lt;&gt;"",ROW()-2,"")</f>
        <v/>
      </c>
      <c r="B31" s="29" t="inlineStr">
        <is>
          <t>801240</t>
        </is>
      </c>
      <c r="C31" s="30" t="inlineStr"/>
      <c r="D31" s="53" t="n"/>
      <c r="E31" s="53" t="n"/>
      <c r="F31" s="18">
        <f>IF(AND(D31&lt;&gt;"",E31&lt;&gt;""),E31-D31,"")</f>
        <v/>
      </c>
      <c r="G31" s="30" t="inlineStr">
        <is>
          <t>4600-06-18</t>
        </is>
      </c>
      <c r="H31" s="30" t="inlineStr">
        <is>
          <t>OPW295 OVERWING NOZZLE INTERLOCK BRACKET</t>
        </is>
      </c>
      <c r="I31" s="34" t="n">
        <v>1</v>
      </c>
      <c r="J31" s="54" t="n">
        <v>148.64</v>
      </c>
      <c r="K31" s="54">
        <f>IF(AND(I31&lt;&gt;"",J31&lt;&gt;""),I31*J31,"")</f>
        <v/>
      </c>
      <c r="L31" s="30" t="inlineStr"/>
      <c r="M31" s="30" t="inlineStr"/>
      <c r="N31" s="30" t="inlineStr"/>
      <c r="O31" s="30" t="inlineStr">
        <is>
          <t>Ordered</t>
        </is>
      </c>
      <c r="P31" s="30" t="inlineStr">
        <is>
          <t>HUNT</t>
        </is>
      </c>
      <c r="Q31" s="30" t="inlineStr">
        <is>
          <t>PO119954</t>
        </is>
      </c>
      <c r="R31" s="53" t="n"/>
      <c r="S31" s="53" t="n"/>
      <c r="T31" s="53" t="n"/>
      <c r="U31" s="30">
        <f>IF(T31&lt;&gt;"","Received",IF(AND(S31&lt;&gt;"",S31&lt;TODAY()),"⚠ Overdue","On Track"))</f>
        <v/>
      </c>
      <c r="V31" s="30" t="inlineStr"/>
    </row>
    <row r="32" ht="18" customHeight="1">
      <c r="A32" s="28">
        <f>IF(B32&lt;&gt;"",ROW()-2,"")</f>
        <v/>
      </c>
      <c r="B32" s="23" t="inlineStr">
        <is>
          <t>801235</t>
        </is>
      </c>
      <c r="C32" s="24" t="inlineStr"/>
      <c r="D32" s="51" t="n"/>
      <c r="E32" s="51" t="n"/>
      <c r="F32" s="13">
        <f>IF(AND(D32&lt;&gt;"",E32&lt;&gt;""),E32-D32,"")</f>
        <v/>
      </c>
      <c r="G32" s="24" t="inlineStr">
        <is>
          <t>50700100086</t>
        </is>
      </c>
      <c r="H32" s="24" t="inlineStr">
        <is>
          <t>GASKET ISO 7707 4 HOLE DIAM80 10000-10-103</t>
        </is>
      </c>
      <c r="I32" s="28" t="n">
        <v>1</v>
      </c>
      <c r="J32" s="52" t="n">
        <v>2.1</v>
      </c>
      <c r="K32" s="52">
        <f>IF(AND(I32&lt;&gt;"",J32&lt;&gt;""),I32*J32,"")</f>
        <v/>
      </c>
      <c r="L32" s="24" t="inlineStr"/>
      <c r="M32" s="24" t="inlineStr"/>
      <c r="N32" s="24" t="inlineStr"/>
      <c r="O32" s="24" t="inlineStr">
        <is>
          <t>Ordered</t>
        </is>
      </c>
      <c r="P32" s="24" t="inlineStr">
        <is>
          <t>OMFB</t>
        </is>
      </c>
      <c r="Q32" s="24" t="inlineStr">
        <is>
          <t>PO120110</t>
        </is>
      </c>
      <c r="R32" s="51" t="n"/>
      <c r="S32" s="51" t="n"/>
      <c r="T32" s="51" t="n"/>
      <c r="U32" s="24">
        <f>IF(T32&lt;&gt;"","Received",IF(AND(S32&lt;&gt;"",S32&lt;TODAY()),"⚠ Overdue","On Track"))</f>
        <v/>
      </c>
      <c r="V32" s="24" t="inlineStr"/>
    </row>
    <row r="33" ht="18" customHeight="1">
      <c r="A33" s="34">
        <f>IF(B33&lt;&gt;"",ROW()-2,"")</f>
        <v/>
      </c>
      <c r="B33" s="29" t="inlineStr">
        <is>
          <t>801236</t>
        </is>
      </c>
      <c r="C33" s="30" t="inlineStr"/>
      <c r="D33" s="53" t="n"/>
      <c r="E33" s="53" t="n"/>
      <c r="F33" s="18">
        <f>IF(AND(D33&lt;&gt;"",E33&lt;&gt;""),E33-D33,"")</f>
        <v/>
      </c>
      <c r="G33" s="30" t="inlineStr">
        <is>
          <t>50700100086</t>
        </is>
      </c>
      <c r="H33" s="30" t="inlineStr">
        <is>
          <t>GASKET ISO 7707 4 HOLE DIAM80 10000-10-103</t>
        </is>
      </c>
      <c r="I33" s="34" t="n">
        <v>1</v>
      </c>
      <c r="J33" s="54" t="n">
        <v>2.1</v>
      </c>
      <c r="K33" s="54">
        <f>IF(AND(I33&lt;&gt;"",J33&lt;&gt;""),I33*J33,"")</f>
        <v/>
      </c>
      <c r="L33" s="30" t="inlineStr"/>
      <c r="M33" s="30" t="inlineStr"/>
      <c r="N33" s="30" t="inlineStr"/>
      <c r="O33" s="30" t="inlineStr">
        <is>
          <t>Ordered</t>
        </is>
      </c>
      <c r="P33" s="30" t="inlineStr">
        <is>
          <t>OMFB</t>
        </is>
      </c>
      <c r="Q33" s="30" t="inlineStr">
        <is>
          <t>PO120110</t>
        </is>
      </c>
      <c r="R33" s="53" t="n"/>
      <c r="S33" s="53" t="n"/>
      <c r="T33" s="53" t="n"/>
      <c r="U33" s="30">
        <f>IF(T33&lt;&gt;"","Received",IF(AND(S33&lt;&gt;"",S33&lt;TODAY()),"⚠ Overdue","On Track"))</f>
        <v/>
      </c>
      <c r="V33" s="30" t="inlineStr"/>
    </row>
    <row r="34" ht="18" customHeight="1">
      <c r="A34" s="28">
        <f>IF(B34&lt;&gt;"",ROW()-2,"")</f>
        <v/>
      </c>
      <c r="B34" s="23" t="inlineStr">
        <is>
          <t>801267</t>
        </is>
      </c>
      <c r="C34" s="24" t="inlineStr"/>
      <c r="D34" s="51" t="n"/>
      <c r="E34" s="51" t="n"/>
      <c r="F34" s="13">
        <f>IF(AND(D34&lt;&gt;"",E34&lt;&gt;""),E34-D34,"")</f>
        <v/>
      </c>
      <c r="G34" s="24" t="inlineStr">
        <is>
          <t>6000-08-63</t>
        </is>
      </c>
      <c r="H34" s="24" t="inlineStr">
        <is>
          <t>LOGO PANEL : SWIVEL REEL LADDER STOWAGE</t>
        </is>
      </c>
      <c r="I34" s="28" t="n">
        <v>1</v>
      </c>
      <c r="J34" s="52" t="n">
        <v>172.86</v>
      </c>
      <c r="K34" s="52">
        <f>IF(AND(I34&lt;&gt;"",J34&lt;&gt;""),I34*J34,"")</f>
        <v/>
      </c>
      <c r="L34" s="24" t="inlineStr"/>
      <c r="M34" s="24" t="inlineStr"/>
      <c r="N34" s="24" t="inlineStr"/>
      <c r="O34" s="24" t="inlineStr">
        <is>
          <t>Ordered</t>
        </is>
      </c>
      <c r="P34" s="24" t="inlineStr">
        <is>
          <t>HUNT</t>
        </is>
      </c>
      <c r="Q34" s="24" t="inlineStr">
        <is>
          <t>PO120112</t>
        </is>
      </c>
      <c r="R34" s="51" t="n"/>
      <c r="S34" s="51" t="n"/>
      <c r="T34" s="51" t="n"/>
      <c r="U34" s="24">
        <f>IF(T34&lt;&gt;"","Received",IF(AND(S34&lt;&gt;"",S34&lt;TODAY()),"⚠ Overdue","On Track"))</f>
        <v/>
      </c>
      <c r="V34" s="24" t="inlineStr"/>
    </row>
    <row r="35" ht="18" customHeight="1">
      <c r="A35" s="34">
        <f>IF(B35&lt;&gt;"",ROW()-2,"")</f>
        <v/>
      </c>
      <c r="B35" s="29" t="inlineStr">
        <is>
          <t>801269</t>
        </is>
      </c>
      <c r="C35" s="30" t="inlineStr"/>
      <c r="D35" s="53" t="n"/>
      <c r="E35" s="53" t="n"/>
      <c r="F35" s="18">
        <f>IF(AND(D35&lt;&gt;"",E35&lt;&gt;""),E35-D35,"")</f>
        <v/>
      </c>
      <c r="G35" s="30" t="inlineStr">
        <is>
          <t>6020-02-19</t>
        </is>
      </c>
      <c r="H35" s="30" t="inlineStr">
        <is>
          <t>DOUBLE SHEAR LINK PLT-ZP BLUE</t>
        </is>
      </c>
      <c r="I35" s="34" t="n">
        <v>1</v>
      </c>
      <c r="J35" s="54" t="n">
        <v>24.9</v>
      </c>
      <c r="K35" s="54">
        <f>IF(AND(I35&lt;&gt;"",J35&lt;&gt;""),I35*J35,"")</f>
        <v/>
      </c>
      <c r="L35" s="30" t="inlineStr"/>
      <c r="M35" s="30" t="inlineStr">
        <is>
          <t>saurabh</t>
        </is>
      </c>
      <c r="N35" s="30" t="inlineStr"/>
      <c r="O35" s="30" t="inlineStr">
        <is>
          <t>Ordered</t>
        </is>
      </c>
      <c r="P35" s="30" t="inlineStr">
        <is>
          <t>HUNT</t>
        </is>
      </c>
      <c r="Q35" s="30" t="inlineStr">
        <is>
          <t>PO120254</t>
        </is>
      </c>
      <c r="R35" s="53" t="n"/>
      <c r="S35" s="53" t="n"/>
      <c r="T35" s="53" t="n"/>
      <c r="U35" s="30">
        <f>IF(T35&lt;&gt;"","Received",IF(AND(S35&lt;&gt;"",S35&lt;TODAY()),"⚠ Overdue","On Track"))</f>
        <v/>
      </c>
      <c r="V35" s="30" t="inlineStr"/>
    </row>
    <row r="36" ht="18" customHeight="1">
      <c r="A36" s="28">
        <f>IF(B36&lt;&gt;"",ROW()-2,"")</f>
        <v/>
      </c>
      <c r="B36" s="23" t="inlineStr">
        <is>
          <t>801270</t>
        </is>
      </c>
      <c r="C36" s="24" t="inlineStr"/>
      <c r="D36" s="51" t="n"/>
      <c r="E36" s="51" t="n"/>
      <c r="F36" s="13">
        <f>IF(AND(D36&lt;&gt;"",E36&lt;&gt;""),E36-D36,"")</f>
        <v/>
      </c>
      <c r="G36" s="24" t="inlineStr">
        <is>
          <t>6020-02-19</t>
        </is>
      </c>
      <c r="H36" s="24" t="inlineStr">
        <is>
          <t>DOUBLE SHEAR LINK PLT-ZP BLUE</t>
        </is>
      </c>
      <c r="I36" s="28" t="n">
        <v>1</v>
      </c>
      <c r="J36" s="52" t="n">
        <v>24.9</v>
      </c>
      <c r="K36" s="52">
        <f>IF(AND(I36&lt;&gt;"",J36&lt;&gt;""),I36*J36,"")</f>
        <v/>
      </c>
      <c r="L36" s="24" t="inlineStr"/>
      <c r="M36" s="24" t="inlineStr"/>
      <c r="N36" s="24" t="inlineStr"/>
      <c r="O36" s="24" t="inlineStr">
        <is>
          <t>Ordered</t>
        </is>
      </c>
      <c r="P36" s="24" t="inlineStr">
        <is>
          <t>HUNT</t>
        </is>
      </c>
      <c r="Q36" s="24" t="inlineStr">
        <is>
          <t>PO120255</t>
        </is>
      </c>
      <c r="R36" s="51" t="n"/>
      <c r="S36" s="51" t="n"/>
      <c r="T36" s="51" t="n"/>
      <c r="U36" s="24">
        <f>IF(T36&lt;&gt;"","Received",IF(AND(S36&lt;&gt;"",S36&lt;TODAY()),"⚠ Overdue","On Track"))</f>
        <v/>
      </c>
      <c r="V36" s="24" t="inlineStr"/>
    </row>
    <row r="37" ht="18" customHeight="1">
      <c r="A37" s="34">
        <f>IF(B37&lt;&gt;"",ROW()-2,"")</f>
        <v/>
      </c>
      <c r="B37" s="29" t="inlineStr">
        <is>
          <t>801235</t>
        </is>
      </c>
      <c r="C37" s="30" t="inlineStr"/>
      <c r="D37" s="53" t="n"/>
      <c r="E37" s="53" t="n"/>
      <c r="F37" s="18">
        <f>IF(AND(D37&lt;&gt;"",E37&lt;&gt;""),E37-D37,"")</f>
        <v/>
      </c>
      <c r="G37" s="30" t="inlineStr">
        <is>
          <t>7000-06-138</t>
        </is>
      </c>
      <c r="H37" s="30" t="inlineStr">
        <is>
          <t>CONTROL PANEL LABEL</t>
        </is>
      </c>
      <c r="I37" s="34" t="n">
        <v>1</v>
      </c>
      <c r="J37" s="54" t="n">
        <v>275</v>
      </c>
      <c r="K37" s="54">
        <f>IF(AND(I37&lt;&gt;"",J37&lt;&gt;""),I37*J37,"")</f>
        <v/>
      </c>
      <c r="L37" s="30" t="inlineStr"/>
      <c r="M37" s="30" t="inlineStr"/>
      <c r="N37" s="30" t="inlineStr"/>
      <c r="O37" s="30" t="inlineStr">
        <is>
          <t>Ordered</t>
        </is>
      </c>
      <c r="P37" s="30" t="inlineStr">
        <is>
          <t>EMTAN</t>
        </is>
      </c>
      <c r="Q37" s="30" t="inlineStr">
        <is>
          <t>PO119240</t>
        </is>
      </c>
      <c r="R37" s="53" t="n"/>
      <c r="S37" s="53" t="n"/>
      <c r="T37" s="53" t="n"/>
      <c r="U37" s="30">
        <f>IF(T37&lt;&gt;"","Received",IF(AND(S37&lt;&gt;"",S37&lt;TODAY()),"⚠ Overdue","On Track"))</f>
        <v/>
      </c>
      <c r="V37" s="30" t="inlineStr"/>
    </row>
    <row r="38" ht="18" customHeight="1">
      <c r="A38" s="28">
        <f>IF(B38&lt;&gt;"",ROW()-2,"")</f>
        <v/>
      </c>
      <c r="B38" s="23" t="inlineStr">
        <is>
          <t>801236</t>
        </is>
      </c>
      <c r="C38" s="24" t="inlineStr"/>
      <c r="D38" s="51" t="n"/>
      <c r="E38" s="51" t="n"/>
      <c r="F38" s="13">
        <f>IF(AND(D38&lt;&gt;"",E38&lt;&gt;""),E38-D38,"")</f>
        <v/>
      </c>
      <c r="G38" s="24" t="inlineStr">
        <is>
          <t>7000-06-138</t>
        </is>
      </c>
      <c r="H38" s="24" t="inlineStr">
        <is>
          <t>CONTROL PANEL LABEL</t>
        </is>
      </c>
      <c r="I38" s="28" t="n">
        <v>1</v>
      </c>
      <c r="J38" s="52" t="n">
        <v>275</v>
      </c>
      <c r="K38" s="52">
        <f>IF(AND(I38&lt;&gt;"",J38&lt;&gt;""),I38*J38,"")</f>
        <v/>
      </c>
      <c r="L38" s="24" t="inlineStr"/>
      <c r="M38" s="24" t="inlineStr"/>
      <c r="N38" s="24" t="inlineStr"/>
      <c r="O38" s="24" t="inlineStr">
        <is>
          <t>Ordered</t>
        </is>
      </c>
      <c r="P38" s="24" t="inlineStr">
        <is>
          <t>EMTAN</t>
        </is>
      </c>
      <c r="Q38" s="24" t="inlineStr">
        <is>
          <t>PO119240</t>
        </is>
      </c>
      <c r="R38" s="51" t="n"/>
      <c r="S38" s="51" t="n"/>
      <c r="T38" s="51" t="n"/>
      <c r="U38" s="24">
        <f>IF(T38&lt;&gt;"","Received",IF(AND(S38&lt;&gt;"",S38&lt;TODAY()),"⚠ Overdue","On Track"))</f>
        <v/>
      </c>
      <c r="V38" s="24" t="inlineStr"/>
    </row>
    <row r="39" ht="18" customHeight="1">
      <c r="A39" s="34">
        <f>IF(B39&lt;&gt;"",ROW()-2,"")</f>
        <v/>
      </c>
      <c r="B39" s="29" t="inlineStr">
        <is>
          <t>801281</t>
        </is>
      </c>
      <c r="C39" s="30" t="inlineStr"/>
      <c r="D39" s="53" t="n"/>
      <c r="E39" s="53" t="n"/>
      <c r="F39" s="18">
        <f>IF(AND(D39&lt;&gt;"",E39&lt;&gt;""),E39-D39,"")</f>
        <v/>
      </c>
      <c r="G39" s="30" t="inlineStr">
        <is>
          <t>7000-29-07</t>
        </is>
      </c>
      <c r="H39" s="30" t="inlineStr">
        <is>
          <t>BRACKET DB MOUNT TO CONTROL PANEL</t>
        </is>
      </c>
      <c r="I39" s="34" t="n">
        <v>1</v>
      </c>
      <c r="J39" s="54" t="n"/>
      <c r="K39" s="54">
        <f>IF(AND(I39&lt;&gt;"",J39&lt;&gt;""),I39*J39,"")</f>
        <v/>
      </c>
      <c r="L39" s="30" t="inlineStr"/>
      <c r="M39" s="30" t="inlineStr">
        <is>
          <t>saurabh</t>
        </is>
      </c>
      <c r="N39" s="30" t="inlineStr"/>
      <c r="O39" s="30" t="inlineStr">
        <is>
          <t>Ordered</t>
        </is>
      </c>
      <c r="P39" s="30" t="inlineStr">
        <is>
          <t>HUNT</t>
        </is>
      </c>
      <c r="Q39" s="30" t="inlineStr">
        <is>
          <t>PO12055</t>
        </is>
      </c>
      <c r="R39" s="53" t="n"/>
      <c r="S39" s="53" t="n"/>
      <c r="T39" s="53" t="n"/>
      <c r="U39" s="30">
        <f>IF(T39&lt;&gt;"","Received",IF(AND(S39&lt;&gt;"",S39&lt;TODAY()),"⚠ Overdue","On Track"))</f>
        <v/>
      </c>
      <c r="V39" s="30" t="inlineStr"/>
    </row>
    <row r="40" ht="18" customHeight="1">
      <c r="A40" s="28">
        <f>IF(B40&lt;&gt;"",ROW()-2,"")</f>
        <v/>
      </c>
      <c r="B40" s="23" t="inlineStr">
        <is>
          <t>801281</t>
        </is>
      </c>
      <c r="C40" s="24" t="inlineStr"/>
      <c r="D40" s="51" t="n"/>
      <c r="E40" s="51" t="n"/>
      <c r="F40" s="13">
        <f>IF(AND(D40&lt;&gt;"",E40&lt;&gt;""),E40-D40,"")</f>
        <v/>
      </c>
      <c r="G40" s="24" t="inlineStr">
        <is>
          <t>7000-29-08</t>
        </is>
      </c>
      <c r="H40" s="24" t="inlineStr">
        <is>
          <t>BRACKET SIGN PANEL DB COVER</t>
        </is>
      </c>
      <c r="I40" s="28" t="n">
        <v>1</v>
      </c>
      <c r="J40" s="52" t="n"/>
      <c r="K40" s="52">
        <f>IF(AND(I40&lt;&gt;"",J40&lt;&gt;""),I40*J40,"")</f>
        <v/>
      </c>
      <c r="L40" s="24" t="inlineStr"/>
      <c r="M40" s="24" t="inlineStr">
        <is>
          <t>saurabh</t>
        </is>
      </c>
      <c r="N40" s="24" t="inlineStr"/>
      <c r="O40" s="24" t="inlineStr">
        <is>
          <t>Ordered</t>
        </is>
      </c>
      <c r="P40" s="24" t="inlineStr">
        <is>
          <t>HUNT</t>
        </is>
      </c>
      <c r="Q40" s="24" t="inlineStr">
        <is>
          <t>PO12055</t>
        </is>
      </c>
      <c r="R40" s="51" t="n"/>
      <c r="S40" s="51" t="n"/>
      <c r="T40" s="51" t="n"/>
      <c r="U40" s="24">
        <f>IF(T40&lt;&gt;"","Received",IF(AND(S40&lt;&gt;"",S40&lt;TODAY()),"⚠ Overdue","On Track"))</f>
        <v/>
      </c>
      <c r="V40" s="24" t="inlineStr"/>
    </row>
    <row r="41" ht="18" customHeight="1">
      <c r="A41" s="34">
        <f>IF(B41&lt;&gt;"",ROW()-2,"")</f>
        <v/>
      </c>
      <c r="B41" s="29" t="inlineStr">
        <is>
          <t>801281</t>
        </is>
      </c>
      <c r="C41" s="30" t="inlineStr"/>
      <c r="D41" s="53" t="n"/>
      <c r="E41" s="53" t="n"/>
      <c r="F41" s="18">
        <f>IF(AND(D41&lt;&gt;"",E41&lt;&gt;""),E41-D41,"")</f>
        <v/>
      </c>
      <c r="G41" s="30" t="inlineStr">
        <is>
          <t>7000-29-09</t>
        </is>
      </c>
      <c r="H41" s="30" t="inlineStr">
        <is>
          <t>BRACKET DB MOUNT</t>
        </is>
      </c>
      <c r="I41" s="34" t="n">
        <v>1</v>
      </c>
      <c r="J41" s="54" t="n"/>
      <c r="K41" s="54">
        <f>IF(AND(I41&lt;&gt;"",J41&lt;&gt;""),I41*J41,"")</f>
        <v/>
      </c>
      <c r="L41" s="30" t="inlineStr"/>
      <c r="M41" s="30" t="inlineStr">
        <is>
          <t>saurabh</t>
        </is>
      </c>
      <c r="N41" s="30" t="inlineStr"/>
      <c r="O41" s="30" t="inlineStr">
        <is>
          <t>Ordered</t>
        </is>
      </c>
      <c r="P41" s="30" t="inlineStr">
        <is>
          <t>HUNT</t>
        </is>
      </c>
      <c r="Q41" s="30" t="inlineStr">
        <is>
          <t>PO12055</t>
        </is>
      </c>
      <c r="R41" s="53" t="n"/>
      <c r="S41" s="53" t="n"/>
      <c r="T41" s="53" t="n"/>
      <c r="U41" s="30">
        <f>IF(T41&lt;&gt;"","Received",IF(AND(S41&lt;&gt;"",S41&lt;TODAY()),"⚠ Overdue","On Track"))</f>
        <v/>
      </c>
      <c r="V41" s="30" t="inlineStr"/>
    </row>
    <row r="42" ht="18" customHeight="1">
      <c r="A42" s="28">
        <f>IF(B42&lt;&gt;"",ROW()-2,"")</f>
        <v/>
      </c>
      <c r="B42" s="23" t="inlineStr">
        <is>
          <t>801241</t>
        </is>
      </c>
      <c r="C42" s="24" t="inlineStr"/>
      <c r="D42" s="51" t="n"/>
      <c r="E42" s="51" t="n"/>
      <c r="F42" s="13">
        <f>IF(AND(D42&lt;&gt;"",E42&lt;&gt;""),E42-D42,"")</f>
        <v/>
      </c>
      <c r="G42" s="24" t="inlineStr">
        <is>
          <t>7000-30-238</t>
        </is>
      </c>
      <c r="H42" s="24" t="inlineStr">
        <is>
          <t>BRACKET - BALL VALVE LABEL FLAT SUIT 3" MANNTEK</t>
        </is>
      </c>
      <c r="I42" s="28" t="n">
        <v>1</v>
      </c>
      <c r="J42" s="52" t="n">
        <v>10.57</v>
      </c>
      <c r="K42" s="52">
        <f>IF(AND(I42&lt;&gt;"",J42&lt;&gt;""),I42*J42,"")</f>
        <v/>
      </c>
      <c r="L42" s="24" t="inlineStr"/>
      <c r="M42" s="24" t="inlineStr"/>
      <c r="N42" s="24" t="inlineStr"/>
      <c r="O42" s="24" t="inlineStr">
        <is>
          <t>Ordered</t>
        </is>
      </c>
      <c r="P42" s="24" t="inlineStr">
        <is>
          <t>HUNT</t>
        </is>
      </c>
      <c r="Q42" s="24" t="inlineStr">
        <is>
          <t>PO119950</t>
        </is>
      </c>
      <c r="R42" s="51" t="n"/>
      <c r="S42" s="51" t="n"/>
      <c r="T42" s="51" t="n"/>
      <c r="U42" s="24">
        <f>IF(T42&lt;&gt;"","Received",IF(AND(S42&lt;&gt;"",S42&lt;TODAY()),"⚠ Overdue","On Track"))</f>
        <v/>
      </c>
      <c r="V42" s="24" t="inlineStr"/>
    </row>
    <row r="43" ht="18" customHeight="1">
      <c r="A43" s="34">
        <f>IF(B43&lt;&gt;"",ROW()-2,"")</f>
        <v/>
      </c>
      <c r="B43" s="29" t="inlineStr">
        <is>
          <t>801216</t>
        </is>
      </c>
      <c r="C43" s="30" t="inlineStr"/>
      <c r="D43" s="53" t="n"/>
      <c r="E43" s="53" t="n"/>
      <c r="F43" s="18">
        <f>IF(AND(D43&lt;&gt;"",E43&lt;&gt;""),E43-D43,"")</f>
        <v/>
      </c>
      <c r="G43" s="30" t="inlineStr">
        <is>
          <t>7000-30-315</t>
        </is>
      </c>
      <c r="H43" s="30" t="inlineStr">
        <is>
          <t>NIPPLE TOE SS G316 BSPT 1/2"</t>
        </is>
      </c>
      <c r="I43" s="34" t="n">
        <v>1</v>
      </c>
      <c r="J43" s="54" t="n">
        <v>11.64</v>
      </c>
      <c r="K43" s="54">
        <f>IF(AND(I43&lt;&gt;"",J43&lt;&gt;""),I43*J43,"")</f>
        <v/>
      </c>
      <c r="L43" s="30" t="inlineStr"/>
      <c r="M43" s="30" t="inlineStr"/>
      <c r="N43" s="30" t="inlineStr"/>
      <c r="O43" s="30" t="inlineStr">
        <is>
          <t>Ordered</t>
        </is>
      </c>
      <c r="P43" s="30" t="inlineStr">
        <is>
          <t>HUNT</t>
        </is>
      </c>
      <c r="Q43" s="30" t="inlineStr">
        <is>
          <t>PO119947</t>
        </is>
      </c>
      <c r="R43" s="53" t="n"/>
      <c r="S43" s="53" t="n"/>
      <c r="T43" s="53" t="n"/>
      <c r="U43" s="30">
        <f>IF(T43&lt;&gt;"","Received",IF(AND(S43&lt;&gt;"",S43&lt;TODAY()),"⚠ Overdue","On Track"))</f>
        <v/>
      </c>
      <c r="V43" s="30" t="inlineStr"/>
    </row>
    <row r="44" ht="18" customHeight="1">
      <c r="A44" s="28">
        <f>IF(B44&lt;&gt;"",ROW()-2,"")</f>
        <v/>
      </c>
      <c r="B44" s="23" t="inlineStr">
        <is>
          <t>801217</t>
        </is>
      </c>
      <c r="C44" s="24" t="inlineStr"/>
      <c r="D44" s="51" t="n"/>
      <c r="E44" s="51" t="n"/>
      <c r="F44" s="13">
        <f>IF(AND(D44&lt;&gt;"",E44&lt;&gt;""),E44-D44,"")</f>
        <v/>
      </c>
      <c r="G44" s="24" t="inlineStr">
        <is>
          <t>7000-30-315</t>
        </is>
      </c>
      <c r="H44" s="24" t="inlineStr">
        <is>
          <t>BRACKET PRESSURE SWITCH COVER</t>
        </is>
      </c>
      <c r="I44" s="28" t="n">
        <v>1</v>
      </c>
      <c r="J44" s="52" t="n">
        <v>11.64</v>
      </c>
      <c r="K44" s="52">
        <f>IF(AND(I44&lt;&gt;"",J44&lt;&gt;""),I44*J44,"")</f>
        <v/>
      </c>
      <c r="L44" s="24" t="inlineStr"/>
      <c r="M44" s="24" t="inlineStr"/>
      <c r="N44" s="24" t="inlineStr"/>
      <c r="O44" s="24" t="inlineStr">
        <is>
          <t>Ordered</t>
        </is>
      </c>
      <c r="P44" s="24" t="inlineStr">
        <is>
          <t>HUNT</t>
        </is>
      </c>
      <c r="Q44" s="24" t="inlineStr">
        <is>
          <t>PO119948</t>
        </is>
      </c>
      <c r="R44" s="51" t="n"/>
      <c r="S44" s="51" t="n"/>
      <c r="T44" s="51" t="n"/>
      <c r="U44" s="24">
        <f>IF(T44&lt;&gt;"","Received",IF(AND(S44&lt;&gt;"",S44&lt;TODAY()),"⚠ Overdue","On Track"))</f>
        <v/>
      </c>
      <c r="V44" s="24" t="inlineStr"/>
    </row>
    <row r="45" ht="18" customHeight="1">
      <c r="A45" s="34">
        <f>IF(B45&lt;&gt;"",ROW()-2,"")</f>
        <v/>
      </c>
      <c r="B45" s="29" t="inlineStr">
        <is>
          <t>801218</t>
        </is>
      </c>
      <c r="C45" s="30" t="inlineStr"/>
      <c r="D45" s="53" t="n"/>
      <c r="E45" s="53" t="n"/>
      <c r="F45" s="18">
        <f>IF(AND(D45&lt;&gt;"",E45&lt;&gt;""),E45-D45,"")</f>
        <v/>
      </c>
      <c r="G45" s="30" t="inlineStr">
        <is>
          <t>7000-30-315</t>
        </is>
      </c>
      <c r="H45" s="30" t="inlineStr">
        <is>
          <t>BRACKET PRESSURE SWITCH COVER</t>
        </is>
      </c>
      <c r="I45" s="34" t="n">
        <v>1</v>
      </c>
      <c r="J45" s="54" t="n">
        <v>11.64</v>
      </c>
      <c r="K45" s="54">
        <f>IF(AND(I45&lt;&gt;"",J45&lt;&gt;""),I45*J45,"")</f>
        <v/>
      </c>
      <c r="L45" s="30" t="inlineStr"/>
      <c r="M45" s="30" t="inlineStr"/>
      <c r="N45" s="30" t="inlineStr"/>
      <c r="O45" s="30" t="inlineStr">
        <is>
          <t>Ordered</t>
        </is>
      </c>
      <c r="P45" s="30" t="inlineStr">
        <is>
          <t>HUNT</t>
        </is>
      </c>
      <c r="Q45" s="30" t="inlineStr">
        <is>
          <t>PO119949</t>
        </is>
      </c>
      <c r="R45" s="53" t="n"/>
      <c r="S45" s="53" t="n"/>
      <c r="T45" s="53" t="n"/>
      <c r="U45" s="30">
        <f>IF(T45&lt;&gt;"","Received",IF(AND(S45&lt;&gt;"",S45&lt;TODAY()),"⚠ Overdue","On Track"))</f>
        <v/>
      </c>
      <c r="V45" s="30" t="inlineStr"/>
    </row>
    <row r="46" ht="18" customHeight="1">
      <c r="A46" s="28">
        <f>IF(B46&lt;&gt;"",ROW()-2,"")</f>
        <v/>
      </c>
      <c r="B46" s="23" t="inlineStr">
        <is>
          <t>801219</t>
        </is>
      </c>
      <c r="C46" s="24" t="inlineStr"/>
      <c r="D46" s="51" t="n"/>
      <c r="E46" s="51" t="n"/>
      <c r="F46" s="13">
        <f>IF(AND(D46&lt;&gt;"",E46&lt;&gt;""),E46-D46,"")</f>
        <v/>
      </c>
      <c r="G46" s="24" t="inlineStr">
        <is>
          <t>7000-30-315</t>
        </is>
      </c>
      <c r="H46" s="24" t="inlineStr">
        <is>
          <t>BRACKET PRESSURE SWITCH COVER</t>
        </is>
      </c>
      <c r="I46" s="28" t="n">
        <v>1</v>
      </c>
      <c r="J46" s="52" t="n">
        <v>11.64</v>
      </c>
      <c r="K46" s="52">
        <f>IF(AND(I46&lt;&gt;"",J46&lt;&gt;""),I46*J46,"")</f>
        <v/>
      </c>
      <c r="L46" s="24" t="inlineStr"/>
      <c r="M46" s="24" t="inlineStr"/>
      <c r="N46" s="24" t="inlineStr"/>
      <c r="O46" s="24" t="inlineStr">
        <is>
          <t>Ordered</t>
        </is>
      </c>
      <c r="P46" s="24" t="inlineStr">
        <is>
          <t>HUNT</t>
        </is>
      </c>
      <c r="Q46" s="24" t="inlineStr">
        <is>
          <t>PO119950</t>
        </is>
      </c>
      <c r="R46" s="51" t="n"/>
      <c r="S46" s="51" t="n"/>
      <c r="T46" s="51" t="n"/>
      <c r="U46" s="24">
        <f>IF(T46&lt;&gt;"","Received",IF(AND(S46&lt;&gt;"",S46&lt;TODAY()),"⚠ Overdue","On Track"))</f>
        <v/>
      </c>
      <c r="V46" s="24" t="inlineStr"/>
    </row>
    <row r="47" ht="18" customHeight="1">
      <c r="A47" s="34">
        <f>IF(B47&lt;&gt;"",ROW()-2,"")</f>
        <v/>
      </c>
      <c r="B47" s="29" t="inlineStr">
        <is>
          <t>801237</t>
        </is>
      </c>
      <c r="C47" s="30" t="inlineStr"/>
      <c r="D47" s="53" t="n"/>
      <c r="E47" s="53" t="n"/>
      <c r="F47" s="18">
        <f>IF(AND(D47&lt;&gt;"",E47&lt;&gt;""),E47-D47,"")</f>
        <v/>
      </c>
      <c r="G47" s="30" t="inlineStr">
        <is>
          <t>7000-30-315</t>
        </is>
      </c>
      <c r="H47" s="30" t="inlineStr">
        <is>
          <t>BRACKET PRESSURE SWITCH COVER</t>
        </is>
      </c>
      <c r="I47" s="34" t="n">
        <v>1</v>
      </c>
      <c r="J47" s="54" t="n">
        <v>11.64</v>
      </c>
      <c r="K47" s="54">
        <f>IF(AND(I47&lt;&gt;"",J47&lt;&gt;""),I47*J47,"")</f>
        <v/>
      </c>
      <c r="L47" s="30" t="inlineStr"/>
      <c r="M47" s="30" t="inlineStr"/>
      <c r="N47" s="30" t="inlineStr"/>
      <c r="O47" s="30" t="inlineStr">
        <is>
          <t>Ordered</t>
        </is>
      </c>
      <c r="P47" s="30" t="inlineStr">
        <is>
          <t>HUNT</t>
        </is>
      </c>
      <c r="Q47" s="30" t="inlineStr">
        <is>
          <t>PO119951</t>
        </is>
      </c>
      <c r="R47" s="53" t="n"/>
      <c r="S47" s="53" t="n"/>
      <c r="T47" s="53" t="n"/>
      <c r="U47" s="30">
        <f>IF(T47&lt;&gt;"","Received",IF(AND(S47&lt;&gt;"",S47&lt;TODAY()),"⚠ Overdue","On Track"))</f>
        <v/>
      </c>
      <c r="V47" s="30" t="inlineStr"/>
    </row>
    <row r="48" ht="18" customHeight="1">
      <c r="A48" s="28">
        <f>IF(B48&lt;&gt;"",ROW()-2,"")</f>
        <v/>
      </c>
      <c r="B48" s="23" t="inlineStr">
        <is>
          <t>801238</t>
        </is>
      </c>
      <c r="C48" s="24" t="inlineStr"/>
      <c r="D48" s="51" t="n"/>
      <c r="E48" s="51" t="n"/>
      <c r="F48" s="13">
        <f>IF(AND(D48&lt;&gt;"",E48&lt;&gt;""),E48-D48,"")</f>
        <v/>
      </c>
      <c r="G48" s="24" t="inlineStr">
        <is>
          <t>7000-30-315</t>
        </is>
      </c>
      <c r="H48" s="24" t="inlineStr">
        <is>
          <t>BRACKET PRESSURE SWITCH COVER</t>
        </is>
      </c>
      <c r="I48" s="28" t="n">
        <v>1</v>
      </c>
      <c r="J48" s="52" t="n">
        <v>11.64</v>
      </c>
      <c r="K48" s="52">
        <f>IF(AND(I48&lt;&gt;"",J48&lt;&gt;""),I48*J48,"")</f>
        <v/>
      </c>
      <c r="L48" s="24" t="inlineStr"/>
      <c r="M48" s="24" t="inlineStr"/>
      <c r="N48" s="24" t="inlineStr"/>
      <c r="O48" s="24" t="inlineStr">
        <is>
          <t>Ordered</t>
        </is>
      </c>
      <c r="P48" s="24" t="inlineStr">
        <is>
          <t>HUNT</t>
        </is>
      </c>
      <c r="Q48" s="24" t="inlineStr">
        <is>
          <t>PO119952</t>
        </is>
      </c>
      <c r="R48" s="51" t="n"/>
      <c r="S48" s="51" t="n"/>
      <c r="T48" s="51" t="n"/>
      <c r="U48" s="24">
        <f>IF(T48&lt;&gt;"","Received",IF(AND(S48&lt;&gt;"",S48&lt;TODAY()),"⚠ Overdue","On Track"))</f>
        <v/>
      </c>
      <c r="V48" s="24" t="inlineStr"/>
    </row>
    <row r="49" ht="18" customHeight="1">
      <c r="A49" s="34">
        <f>IF(B49&lt;&gt;"",ROW()-2,"")</f>
        <v/>
      </c>
      <c r="B49" s="29" t="inlineStr">
        <is>
          <t>801239</t>
        </is>
      </c>
      <c r="C49" s="30" t="inlineStr"/>
      <c r="D49" s="53" t="n"/>
      <c r="E49" s="53" t="n"/>
      <c r="F49" s="18">
        <f>IF(AND(D49&lt;&gt;"",E49&lt;&gt;""),E49-D49,"")</f>
        <v/>
      </c>
      <c r="G49" s="30" t="inlineStr">
        <is>
          <t>7000-30-315</t>
        </is>
      </c>
      <c r="H49" s="30" t="inlineStr">
        <is>
          <t>BRACKET PRESSURE SWITCH COVER</t>
        </is>
      </c>
      <c r="I49" s="34" t="n">
        <v>1</v>
      </c>
      <c r="J49" s="54" t="n">
        <v>11.64</v>
      </c>
      <c r="K49" s="54">
        <f>IF(AND(I49&lt;&gt;"",J49&lt;&gt;""),I49*J49,"")</f>
        <v/>
      </c>
      <c r="L49" s="30" t="inlineStr"/>
      <c r="M49" s="30" t="inlineStr"/>
      <c r="N49" s="30" t="inlineStr"/>
      <c r="O49" s="30" t="inlineStr">
        <is>
          <t>Ordered</t>
        </is>
      </c>
      <c r="P49" s="30" t="inlineStr">
        <is>
          <t>HUNT</t>
        </is>
      </c>
      <c r="Q49" s="30" t="inlineStr">
        <is>
          <t>PO119953</t>
        </is>
      </c>
      <c r="R49" s="53" t="n"/>
      <c r="S49" s="53" t="n"/>
      <c r="T49" s="53" t="n"/>
      <c r="U49" s="30">
        <f>IF(T49&lt;&gt;"","Received",IF(AND(S49&lt;&gt;"",S49&lt;TODAY()),"⚠ Overdue","On Track"))</f>
        <v/>
      </c>
      <c r="V49" s="30" t="inlineStr"/>
    </row>
    <row r="50" ht="18" customHeight="1">
      <c r="A50" s="28">
        <f>IF(B50&lt;&gt;"",ROW()-2,"")</f>
        <v/>
      </c>
      <c r="B50" s="23" t="inlineStr">
        <is>
          <t>801240</t>
        </is>
      </c>
      <c r="C50" s="24" t="inlineStr"/>
      <c r="D50" s="51" t="n"/>
      <c r="E50" s="51" t="n"/>
      <c r="F50" s="13">
        <f>IF(AND(D50&lt;&gt;"",E50&lt;&gt;""),E50-D50,"")</f>
        <v/>
      </c>
      <c r="G50" s="24" t="inlineStr">
        <is>
          <t>7000-30-315</t>
        </is>
      </c>
      <c r="H50" s="24" t="inlineStr">
        <is>
          <t>BRACKET PRESSURE SWITCH COVER</t>
        </is>
      </c>
      <c r="I50" s="28" t="n">
        <v>1</v>
      </c>
      <c r="J50" s="52" t="n">
        <v>11.64</v>
      </c>
      <c r="K50" s="52">
        <f>IF(AND(I50&lt;&gt;"",J50&lt;&gt;""),I50*J50,"")</f>
        <v/>
      </c>
      <c r="L50" s="24" t="inlineStr"/>
      <c r="M50" s="24" t="inlineStr"/>
      <c r="N50" s="24" t="inlineStr"/>
      <c r="O50" s="24" t="inlineStr">
        <is>
          <t>Ordered</t>
        </is>
      </c>
      <c r="P50" s="24" t="inlineStr">
        <is>
          <t>HUNT</t>
        </is>
      </c>
      <c r="Q50" s="24" t="inlineStr">
        <is>
          <t>PO119954</t>
        </is>
      </c>
      <c r="R50" s="51" t="n"/>
      <c r="S50" s="51" t="n"/>
      <c r="T50" s="51" t="n"/>
      <c r="U50" s="24">
        <f>IF(T50&lt;&gt;"","Received",IF(AND(S50&lt;&gt;"",S50&lt;TODAY()),"⚠ Overdue","On Track"))</f>
        <v/>
      </c>
      <c r="V50" s="24" t="inlineStr"/>
    </row>
    <row r="51" ht="18" customHeight="1">
      <c r="A51" s="34">
        <f>IF(B51&lt;&gt;"",ROW()-2,"")</f>
        <v/>
      </c>
      <c r="B51" s="29" t="inlineStr">
        <is>
          <t>801281</t>
        </is>
      </c>
      <c r="C51" s="30" t="inlineStr"/>
      <c r="D51" s="53" t="n"/>
      <c r="E51" s="53" t="n"/>
      <c r="F51" s="18">
        <f>IF(AND(D51&lt;&gt;"",E51&lt;&gt;""),E51-D51,"")</f>
        <v/>
      </c>
      <c r="G51" s="30" t="inlineStr">
        <is>
          <t>7000-30-322</t>
        </is>
      </c>
      <c r="H51" s="30" t="inlineStr">
        <is>
          <t>BRACKET METER SUPPORT BM400</t>
        </is>
      </c>
      <c r="I51" s="34" t="n">
        <v>2</v>
      </c>
      <c r="J51" s="54" t="n"/>
      <c r="K51" s="54">
        <f>IF(AND(I51&lt;&gt;"",J51&lt;&gt;""),I51*J51,"")</f>
        <v/>
      </c>
      <c r="L51" s="30" t="inlineStr"/>
      <c r="M51" s="30" t="inlineStr">
        <is>
          <t>saurabh</t>
        </is>
      </c>
      <c r="N51" s="30" t="inlineStr"/>
      <c r="O51" s="30" t="inlineStr">
        <is>
          <t>Ordered</t>
        </is>
      </c>
      <c r="P51" s="30" t="inlineStr">
        <is>
          <t>HUNT</t>
        </is>
      </c>
      <c r="Q51" s="30" t="inlineStr">
        <is>
          <t>PO12055</t>
        </is>
      </c>
      <c r="R51" s="53" t="n"/>
      <c r="S51" s="53" t="n"/>
      <c r="T51" s="53" t="n"/>
      <c r="U51" s="30">
        <f>IF(T51&lt;&gt;"","Received",IF(AND(S51&lt;&gt;"",S51&lt;TODAY()),"⚠ Overdue","On Track"))</f>
        <v/>
      </c>
      <c r="V51" s="30" t="inlineStr"/>
    </row>
    <row r="52" ht="18" customHeight="1">
      <c r="A52" s="28">
        <f>IF(B52&lt;&gt;"",ROW()-2,"")</f>
        <v/>
      </c>
      <c r="B52" s="23" t="inlineStr">
        <is>
          <t>801281</t>
        </is>
      </c>
      <c r="C52" s="24" t="inlineStr"/>
      <c r="D52" s="51" t="n"/>
      <c r="E52" s="51" t="n"/>
      <c r="F52" s="13">
        <f>IF(AND(D52&lt;&gt;"",E52&lt;&gt;""),E52-D52,"")</f>
        <v/>
      </c>
      <c r="G52" s="24" t="inlineStr">
        <is>
          <t>7000-30-325</t>
        </is>
      </c>
      <c r="H52" s="24" t="inlineStr">
        <is>
          <t>BRACKET BALL VALVE MOUNT 6" RH</t>
        </is>
      </c>
      <c r="I52" s="28" t="n">
        <v>1</v>
      </c>
      <c r="J52" s="52" t="n"/>
      <c r="K52" s="52">
        <f>IF(AND(I52&lt;&gt;"",J52&lt;&gt;""),I52*J52,"")</f>
        <v/>
      </c>
      <c r="L52" s="24" t="inlineStr"/>
      <c r="M52" s="24" t="inlineStr">
        <is>
          <t>saurabh</t>
        </is>
      </c>
      <c r="N52" s="24" t="inlineStr"/>
      <c r="O52" s="24" t="inlineStr">
        <is>
          <t>Ordered</t>
        </is>
      </c>
      <c r="P52" s="24" t="inlineStr">
        <is>
          <t>HUNT</t>
        </is>
      </c>
      <c r="Q52" s="24" t="inlineStr">
        <is>
          <t>PO12055</t>
        </is>
      </c>
      <c r="R52" s="51" t="n"/>
      <c r="S52" s="51" t="n"/>
      <c r="T52" s="51" t="n"/>
      <c r="U52" s="24">
        <f>IF(T52&lt;&gt;"","Received",IF(AND(S52&lt;&gt;"",S52&lt;TODAY()),"⚠ Overdue","On Track"))</f>
        <v/>
      </c>
      <c r="V52" s="24" t="inlineStr"/>
    </row>
    <row r="53" ht="18" customHeight="1">
      <c r="A53" s="34">
        <f>IF(B53&lt;&gt;"",ROW()-2,"")</f>
        <v/>
      </c>
      <c r="B53" s="29" t="inlineStr">
        <is>
          <t>801281</t>
        </is>
      </c>
      <c r="C53" s="30" t="inlineStr"/>
      <c r="D53" s="53" t="n"/>
      <c r="E53" s="53" t="n"/>
      <c r="F53" s="18">
        <f>IF(AND(D53&lt;&gt;"",E53&lt;&gt;""),E53-D53,"")</f>
        <v/>
      </c>
      <c r="G53" s="30" t="inlineStr">
        <is>
          <t>7000-30-326</t>
        </is>
      </c>
      <c r="H53" s="30" t="inlineStr">
        <is>
          <t>BRACKET BALL VALVE MOUNT 6" LH</t>
        </is>
      </c>
      <c r="I53" s="34" t="n">
        <v>1</v>
      </c>
      <c r="J53" s="54" t="n"/>
      <c r="K53" s="54">
        <f>IF(AND(I53&lt;&gt;"",J53&lt;&gt;""),I53*J53,"")</f>
        <v/>
      </c>
      <c r="L53" s="30" t="inlineStr"/>
      <c r="M53" s="30" t="inlineStr">
        <is>
          <t>saurabh</t>
        </is>
      </c>
      <c r="N53" s="30" t="inlineStr"/>
      <c r="O53" s="30" t="inlineStr">
        <is>
          <t>Ordered</t>
        </is>
      </c>
      <c r="P53" s="30" t="inlineStr">
        <is>
          <t>HUNT</t>
        </is>
      </c>
      <c r="Q53" s="30" t="inlineStr">
        <is>
          <t>PO12055</t>
        </is>
      </c>
      <c r="R53" s="53" t="n"/>
      <c r="S53" s="53" t="n"/>
      <c r="T53" s="53" t="n"/>
      <c r="U53" s="30">
        <f>IF(T53&lt;&gt;"","Received",IF(AND(S53&lt;&gt;"",S53&lt;TODAY()),"⚠ Overdue","On Track"))</f>
        <v/>
      </c>
      <c r="V53" s="30" t="inlineStr"/>
    </row>
    <row r="54" ht="18" customHeight="1">
      <c r="A54" s="28">
        <f>IF(B54&lt;&gt;"",ROW()-2,"")</f>
        <v/>
      </c>
      <c r="B54" s="23" t="inlineStr">
        <is>
          <t>801281</t>
        </is>
      </c>
      <c r="C54" s="24" t="inlineStr"/>
      <c r="D54" s="51" t="n"/>
      <c r="E54" s="51" t="n"/>
      <c r="F54" s="13">
        <f>IF(AND(D54&lt;&gt;"",E54&lt;&gt;""),E54-D54,"")</f>
        <v/>
      </c>
      <c r="G54" s="24" t="inlineStr">
        <is>
          <t>7000-30-327</t>
        </is>
      </c>
      <c r="H54" s="24" t="inlineStr">
        <is>
          <t>BRACKET ALJAC MOUNT</t>
        </is>
      </c>
      <c r="I54" s="28" t="n">
        <v>1</v>
      </c>
      <c r="J54" s="52" t="n"/>
      <c r="K54" s="52">
        <f>IF(AND(I54&lt;&gt;"",J54&lt;&gt;""),I54*J54,"")</f>
        <v/>
      </c>
      <c r="L54" s="24" t="inlineStr"/>
      <c r="M54" s="24" t="inlineStr">
        <is>
          <t>saurabh</t>
        </is>
      </c>
      <c r="N54" s="24" t="inlineStr"/>
      <c r="O54" s="24" t="inlineStr">
        <is>
          <t>Ordered</t>
        </is>
      </c>
      <c r="P54" s="24" t="inlineStr">
        <is>
          <t>HUNT</t>
        </is>
      </c>
      <c r="Q54" s="24" t="inlineStr">
        <is>
          <t>PO12055</t>
        </is>
      </c>
      <c r="R54" s="51" t="n"/>
      <c r="S54" s="51" t="n"/>
      <c r="T54" s="51" t="n"/>
      <c r="U54" s="24">
        <f>IF(T54&lt;&gt;"","Received",IF(AND(S54&lt;&gt;"",S54&lt;TODAY()),"⚠ Overdue","On Track"))</f>
        <v/>
      </c>
      <c r="V54" s="24" t="inlineStr"/>
    </row>
    <row r="55" ht="18" customHeight="1">
      <c r="A55" s="34">
        <f>IF(B55&lt;&gt;"",ROW()-2,"")</f>
        <v/>
      </c>
      <c r="B55" s="29" t="inlineStr">
        <is>
          <t>801281</t>
        </is>
      </c>
      <c r="C55" s="30" t="inlineStr"/>
      <c r="D55" s="53" t="n"/>
      <c r="E55" s="53" t="n"/>
      <c r="F55" s="18">
        <f>IF(AND(D55&lt;&gt;"",E55&lt;&gt;""),E55-D55,"")</f>
        <v/>
      </c>
      <c r="G55" s="30" t="inlineStr">
        <is>
          <t>7000-30-329</t>
        </is>
      </c>
      <c r="H55" s="30" t="inlineStr">
        <is>
          <t>BRACKET CONTROL PANEL MOUNT</t>
        </is>
      </c>
      <c r="I55" s="34" t="n">
        <v>2</v>
      </c>
      <c r="J55" s="54" t="n"/>
      <c r="K55" s="54">
        <f>IF(AND(I55&lt;&gt;"",J55&lt;&gt;""),I55*J55,"")</f>
        <v/>
      </c>
      <c r="L55" s="30" t="inlineStr"/>
      <c r="M55" s="30" t="inlineStr">
        <is>
          <t>saurabh</t>
        </is>
      </c>
      <c r="N55" s="30" t="inlineStr"/>
      <c r="O55" s="30" t="inlineStr">
        <is>
          <t>Ordered</t>
        </is>
      </c>
      <c r="P55" s="30" t="inlineStr">
        <is>
          <t>HUNT</t>
        </is>
      </c>
      <c r="Q55" s="30" t="inlineStr">
        <is>
          <t>PO12055</t>
        </is>
      </c>
      <c r="R55" s="53" t="n"/>
      <c r="S55" s="53" t="n"/>
      <c r="T55" s="53" t="n"/>
      <c r="U55" s="30">
        <f>IF(T55&lt;&gt;"","Received",IF(AND(S55&lt;&gt;"",S55&lt;TODAY()),"⚠ Overdue","On Track"))</f>
        <v/>
      </c>
      <c r="V55" s="30" t="inlineStr"/>
    </row>
    <row r="56" ht="18" customHeight="1">
      <c r="A56" s="28">
        <f>IF(B56&lt;&gt;"",ROW()-2,"")</f>
        <v/>
      </c>
      <c r="B56" s="23" t="inlineStr">
        <is>
          <t>801281</t>
        </is>
      </c>
      <c r="C56" s="24" t="inlineStr"/>
      <c r="D56" s="51" t="n"/>
      <c r="E56" s="51" t="n"/>
      <c r="F56" s="13">
        <f>IF(AND(D56&lt;&gt;"",E56&lt;&gt;""),E56-D56,"")</f>
        <v/>
      </c>
      <c r="G56" s="24" t="inlineStr">
        <is>
          <t>7000-30-330</t>
        </is>
      </c>
      <c r="H56" s="24" t="inlineStr">
        <is>
          <t>BRACKET BALL VALVE SUPPORT</t>
        </is>
      </c>
      <c r="I56" s="28" t="n">
        <v>1</v>
      </c>
      <c r="J56" s="52" t="n"/>
      <c r="K56" s="52">
        <f>IF(AND(I56&lt;&gt;"",J56&lt;&gt;""),I56*J56,"")</f>
        <v/>
      </c>
      <c r="L56" s="24" t="inlineStr"/>
      <c r="M56" s="24" t="inlineStr">
        <is>
          <t>saurabh</t>
        </is>
      </c>
      <c r="N56" s="24" t="inlineStr"/>
      <c r="O56" s="24" t="inlineStr">
        <is>
          <t>Ordered</t>
        </is>
      </c>
      <c r="P56" s="24" t="inlineStr">
        <is>
          <t>HUNT</t>
        </is>
      </c>
      <c r="Q56" s="24" t="inlineStr">
        <is>
          <t>PO12055</t>
        </is>
      </c>
      <c r="R56" s="51" t="n"/>
      <c r="S56" s="51" t="n"/>
      <c r="T56" s="51" t="n"/>
      <c r="U56" s="24">
        <f>IF(T56&lt;&gt;"","Received",IF(AND(S56&lt;&gt;"",S56&lt;TODAY()),"⚠ Overdue","On Track"))</f>
        <v/>
      </c>
      <c r="V56" s="24" t="inlineStr"/>
    </row>
    <row r="57" ht="18" customHeight="1">
      <c r="A57" s="34">
        <f>IF(B57&lt;&gt;"",ROW()-2,"")</f>
        <v/>
      </c>
      <c r="B57" s="29" t="inlineStr">
        <is>
          <t>801281</t>
        </is>
      </c>
      <c r="C57" s="30" t="inlineStr"/>
      <c r="D57" s="53" t="n"/>
      <c r="E57" s="53" t="n"/>
      <c r="F57" s="18">
        <f>IF(AND(D57&lt;&gt;"",E57&lt;&gt;""),E57-D57,"")</f>
        <v/>
      </c>
      <c r="G57" s="30" t="inlineStr">
        <is>
          <t>7000-41-24</t>
        </is>
      </c>
      <c r="H57" s="30" t="inlineStr">
        <is>
          <t>BRACKET PUMP MOUNT 06C1-DA</t>
        </is>
      </c>
      <c r="I57" s="34" t="n">
        <v>1</v>
      </c>
      <c r="J57" s="54" t="n"/>
      <c r="K57" s="54">
        <f>IF(AND(I57&lt;&gt;"",J57&lt;&gt;""),I57*J57,"")</f>
        <v/>
      </c>
      <c r="L57" s="30" t="inlineStr"/>
      <c r="M57" s="30" t="inlineStr">
        <is>
          <t>saurabh</t>
        </is>
      </c>
      <c r="N57" s="30" t="inlineStr"/>
      <c r="O57" s="30" t="inlineStr">
        <is>
          <t>Ordered</t>
        </is>
      </c>
      <c r="P57" s="30" t="inlineStr">
        <is>
          <t>HUNT</t>
        </is>
      </c>
      <c r="Q57" s="30" t="inlineStr">
        <is>
          <t>PO12055</t>
        </is>
      </c>
      <c r="R57" s="53" t="n"/>
      <c r="S57" s="53" t="n"/>
      <c r="T57" s="53" t="n"/>
      <c r="U57" s="30">
        <f>IF(T57&lt;&gt;"","Received",IF(AND(S57&lt;&gt;"",S57&lt;TODAY()),"⚠ Overdue","On Track"))</f>
        <v/>
      </c>
      <c r="V57" s="30" t="inlineStr"/>
    </row>
    <row r="58" ht="18" customHeight="1">
      <c r="A58" s="28">
        <f>IF(B58&lt;&gt;"",ROW()-2,"")</f>
        <v/>
      </c>
      <c r="B58" s="23" t="inlineStr">
        <is>
          <t>801241</t>
        </is>
      </c>
      <c r="C58" s="24" t="inlineStr"/>
      <c r="D58" s="51" t="n"/>
      <c r="E58" s="51" t="n"/>
      <c r="F58" s="13">
        <f>IF(AND(D58&lt;&gt;"",E58&lt;&gt;""),E58-D58,"")</f>
        <v/>
      </c>
      <c r="G58" s="24" t="inlineStr">
        <is>
          <t>9300-01-114</t>
        </is>
      </c>
      <c r="H58" s="24" t="inlineStr">
        <is>
          <t>Label - Air Tank Drain - ENGLISH ARABIC</t>
        </is>
      </c>
      <c r="I58" s="28" t="n">
        <v>1</v>
      </c>
      <c r="J58" s="52" t="n">
        <v>10</v>
      </c>
      <c r="K58" s="52">
        <f>IF(AND(I58&lt;&gt;"",J58&lt;&gt;""),I58*J58,"")</f>
        <v/>
      </c>
      <c r="L58" s="24" t="inlineStr"/>
      <c r="M58" s="24" t="inlineStr">
        <is>
          <t>Sri</t>
        </is>
      </c>
      <c r="N58" s="24" t="inlineStr"/>
      <c r="O58" s="24" t="inlineStr">
        <is>
          <t>Ordered</t>
        </is>
      </c>
      <c r="P58" s="24" t="inlineStr">
        <is>
          <t>Niddrie</t>
        </is>
      </c>
      <c r="Q58" s="24" t="inlineStr">
        <is>
          <t>PO119955</t>
        </is>
      </c>
      <c r="R58" s="51" t="n"/>
      <c r="S58" s="51" t="n"/>
      <c r="T58" s="51" t="n"/>
      <c r="U58" s="24">
        <f>IF(T58&lt;&gt;"","Received",IF(AND(S58&lt;&gt;"",S58&lt;TODAY()),"⚠ Overdue","On Track"))</f>
        <v/>
      </c>
      <c r="V58" s="24" t="inlineStr"/>
    </row>
    <row r="59" ht="18" customHeight="1">
      <c r="A59" s="34">
        <f>IF(B59&lt;&gt;"",ROW()-2,"")</f>
        <v/>
      </c>
      <c r="B59" s="29" t="inlineStr">
        <is>
          <t>801241</t>
        </is>
      </c>
      <c r="C59" s="30" t="inlineStr"/>
      <c r="D59" s="53" t="n"/>
      <c r="E59" s="53" t="n"/>
      <c r="F59" s="18">
        <f>IF(AND(D59&lt;&gt;"",E59&lt;&gt;""),E59-D59,"")</f>
        <v/>
      </c>
      <c r="G59" s="30" t="inlineStr">
        <is>
          <t>9300-01-117</t>
        </is>
      </c>
      <c r="H59" s="30" t="inlineStr">
        <is>
          <t>STICKER - BATTERY ISOLATOR OFF/ON - ENGLISH ARABIC</t>
        </is>
      </c>
      <c r="I59" s="34" t="n">
        <v>1</v>
      </c>
      <c r="J59" s="54" t="n">
        <v>10</v>
      </c>
      <c r="K59" s="54">
        <f>IF(AND(I59&lt;&gt;"",J59&lt;&gt;""),I59*J59,"")</f>
        <v/>
      </c>
      <c r="L59" s="30" t="inlineStr"/>
      <c r="M59" s="30" t="inlineStr">
        <is>
          <t>Sri</t>
        </is>
      </c>
      <c r="N59" s="30" t="inlineStr"/>
      <c r="O59" s="30" t="inlineStr">
        <is>
          <t>Ordered</t>
        </is>
      </c>
      <c r="P59" s="30" t="inlineStr">
        <is>
          <t>Niddrie</t>
        </is>
      </c>
      <c r="Q59" s="30" t="inlineStr">
        <is>
          <t>PO119955</t>
        </is>
      </c>
      <c r="R59" s="53" t="n"/>
      <c r="S59" s="53" t="n"/>
      <c r="T59" s="53" t="n"/>
      <c r="U59" s="30">
        <f>IF(T59&lt;&gt;"","Received",IF(AND(S59&lt;&gt;"",S59&lt;TODAY()),"⚠ Overdue","On Track"))</f>
        <v/>
      </c>
      <c r="V59" s="30" t="inlineStr"/>
    </row>
    <row r="60" ht="18" customHeight="1">
      <c r="A60" s="28">
        <f>IF(B60&lt;&gt;"",ROW()-2,"")</f>
        <v/>
      </c>
      <c r="B60" s="23" t="inlineStr">
        <is>
          <t>801241</t>
        </is>
      </c>
      <c r="C60" s="24" t="inlineStr"/>
      <c r="D60" s="51" t="n"/>
      <c r="E60" s="51" t="n"/>
      <c r="F60" s="13">
        <f>IF(AND(D60&lt;&gt;"",E60&lt;&gt;""),E60-D60,"")</f>
        <v/>
      </c>
      <c r="G60" s="24" t="inlineStr">
        <is>
          <t>9300-01-119</t>
        </is>
      </c>
      <c r="H60" s="24" t="inlineStr">
        <is>
          <t>STICKER - DRAIN AIR TANKS DAILY - ENGLISH ARABIC</t>
        </is>
      </c>
      <c r="I60" s="28" t="n">
        <v>1</v>
      </c>
      <c r="J60" s="52" t="n">
        <v>16</v>
      </c>
      <c r="K60" s="52">
        <f>IF(AND(I60&lt;&gt;"",J60&lt;&gt;""),I60*J60,"")</f>
        <v/>
      </c>
      <c r="L60" s="24" t="inlineStr"/>
      <c r="M60" s="24" t="inlineStr">
        <is>
          <t>Sri</t>
        </is>
      </c>
      <c r="N60" s="24" t="inlineStr"/>
      <c r="O60" s="24" t="inlineStr">
        <is>
          <t>Ordered</t>
        </is>
      </c>
      <c r="P60" s="24" t="inlineStr">
        <is>
          <t>Niddrie</t>
        </is>
      </c>
      <c r="Q60" s="24" t="inlineStr">
        <is>
          <t>PO119955</t>
        </is>
      </c>
      <c r="R60" s="51" t="n"/>
      <c r="S60" s="51" t="n"/>
      <c r="T60" s="51" t="n"/>
      <c r="U60" s="24">
        <f>IF(T60&lt;&gt;"","Received",IF(AND(S60&lt;&gt;"",S60&lt;TODAY()),"⚠ Overdue","On Track"))</f>
        <v/>
      </c>
      <c r="V60" s="24" t="inlineStr"/>
    </row>
    <row r="61" ht="18" customHeight="1">
      <c r="A61" s="34">
        <f>IF(B61&lt;&gt;"",ROW()-2,"")</f>
        <v/>
      </c>
      <c r="B61" s="29" t="inlineStr">
        <is>
          <t>801241</t>
        </is>
      </c>
      <c r="C61" s="30" t="inlineStr"/>
      <c r="D61" s="53" t="n"/>
      <c r="E61" s="53" t="n"/>
      <c r="F61" s="18">
        <f>IF(AND(D61&lt;&gt;"",E61&lt;&gt;""),E61-D61,"")</f>
        <v/>
      </c>
      <c r="G61" s="30" t="inlineStr">
        <is>
          <t>9300-01-127</t>
        </is>
      </c>
      <c r="H61" s="30" t="inlineStr">
        <is>
          <t>STICKER COLLECTOR TANK INSPECTED CLEANED DATE ENGLISH ARABIC</t>
        </is>
      </c>
      <c r="I61" s="34" t="n">
        <v>1</v>
      </c>
      <c r="J61" s="54" t="n">
        <v>20</v>
      </c>
      <c r="K61" s="54">
        <f>IF(AND(I61&lt;&gt;"",J61&lt;&gt;""),I61*J61,"")</f>
        <v/>
      </c>
      <c r="L61" s="30" t="inlineStr"/>
      <c r="M61" s="30" t="inlineStr">
        <is>
          <t>Sri</t>
        </is>
      </c>
      <c r="N61" s="30" t="inlineStr"/>
      <c r="O61" s="30" t="inlineStr">
        <is>
          <t>Ordered</t>
        </is>
      </c>
      <c r="P61" s="30" t="inlineStr">
        <is>
          <t>Niddrie</t>
        </is>
      </c>
      <c r="Q61" s="30" t="inlineStr">
        <is>
          <t>PO119955</t>
        </is>
      </c>
      <c r="R61" s="53" t="n"/>
      <c r="S61" s="53" t="n"/>
      <c r="T61" s="53" t="n"/>
      <c r="U61" s="30">
        <f>IF(T61&lt;&gt;"","Received",IF(AND(S61&lt;&gt;"",S61&lt;TODAY()),"⚠ Overdue","On Track"))</f>
        <v/>
      </c>
      <c r="V61" s="30" t="inlineStr"/>
    </row>
    <row r="62" ht="18" customHeight="1">
      <c r="A62" s="28">
        <f>IF(B62&lt;&gt;"",ROW()-2,"")</f>
        <v/>
      </c>
      <c r="B62" s="23" t="inlineStr">
        <is>
          <t>801241</t>
        </is>
      </c>
      <c r="C62" s="24" t="inlineStr"/>
      <c r="D62" s="51" t="n"/>
      <c r="E62" s="51" t="n"/>
      <c r="F62" s="13">
        <f>IF(AND(D62&lt;&gt;"",E62&lt;&gt;""),E62-D62,"")</f>
        <v/>
      </c>
      <c r="G62" s="24" t="inlineStr">
        <is>
          <t>9300-01-130</t>
        </is>
      </c>
      <c r="H62" s="24" t="inlineStr">
        <is>
          <t>LABEL - EMER. POWER STOP PUSH TO ACTIVATE - ENGLISH ARABIC</t>
        </is>
      </c>
      <c r="I62" s="28" t="n">
        <v>1</v>
      </c>
      <c r="J62" s="52" t="n">
        <v>10</v>
      </c>
      <c r="K62" s="52">
        <f>IF(AND(I62&lt;&gt;"",J62&lt;&gt;""),I62*J62,"")</f>
        <v/>
      </c>
      <c r="L62" s="24" t="inlineStr"/>
      <c r="M62" s="24" t="inlineStr">
        <is>
          <t>Sri</t>
        </is>
      </c>
      <c r="N62" s="24" t="inlineStr"/>
      <c r="O62" s="24" t="inlineStr">
        <is>
          <t>Ordered</t>
        </is>
      </c>
      <c r="P62" s="24" t="inlineStr">
        <is>
          <t>Niddrie</t>
        </is>
      </c>
      <c r="Q62" s="24" t="inlineStr">
        <is>
          <t>PO119955</t>
        </is>
      </c>
      <c r="R62" s="51" t="n"/>
      <c r="S62" s="51" t="n"/>
      <c r="T62" s="51" t="n"/>
      <c r="U62" s="24">
        <f>IF(T62&lt;&gt;"","Received",IF(AND(S62&lt;&gt;"",S62&lt;TODAY()),"⚠ Overdue","On Track"))</f>
        <v/>
      </c>
      <c r="V62" s="24" t="inlineStr"/>
    </row>
    <row r="63" ht="18" customHeight="1">
      <c r="A63" s="34">
        <f>IF(B63&lt;&gt;"",ROW()-2,"")</f>
        <v/>
      </c>
      <c r="B63" s="29" t="inlineStr">
        <is>
          <t>801241</t>
        </is>
      </c>
      <c r="C63" s="30" t="inlineStr"/>
      <c r="D63" s="53" t="n"/>
      <c r="E63" s="53" t="n"/>
      <c r="F63" s="18">
        <f>IF(AND(D63&lt;&gt;"",E63&lt;&gt;""),E63-D63,"")</f>
        <v/>
      </c>
      <c r="G63" s="30" t="inlineStr">
        <is>
          <t>9300-01-132</t>
        </is>
      </c>
      <c r="H63" s="30" t="inlineStr">
        <is>
          <t>LABEL WARNING DO NOT USE AS A STEP ENGLISH ARABIC</t>
        </is>
      </c>
      <c r="I63" s="34" t="n">
        <v>1</v>
      </c>
      <c r="J63" s="54" t="n">
        <v>80</v>
      </c>
      <c r="K63" s="54">
        <f>IF(AND(I63&lt;&gt;"",J63&lt;&gt;""),I63*J63,"")</f>
        <v/>
      </c>
      <c r="L63" s="30" t="inlineStr"/>
      <c r="M63" s="30" t="inlineStr">
        <is>
          <t>Sri</t>
        </is>
      </c>
      <c r="N63" s="30" t="inlineStr"/>
      <c r="O63" s="30" t="inlineStr">
        <is>
          <t>Ordered</t>
        </is>
      </c>
      <c r="P63" s="30" t="inlineStr">
        <is>
          <t>Niddrie</t>
        </is>
      </c>
      <c r="Q63" s="30" t="inlineStr">
        <is>
          <t>PO119955</t>
        </is>
      </c>
      <c r="R63" s="53" t="n"/>
      <c r="S63" s="53" t="n"/>
      <c r="T63" s="53" t="n"/>
      <c r="U63" s="30">
        <f>IF(T63&lt;&gt;"","Received",IF(AND(S63&lt;&gt;"",S63&lt;TODAY()),"⚠ Overdue","On Track"))</f>
        <v/>
      </c>
      <c r="V63" s="30" t="inlineStr"/>
    </row>
    <row r="64" ht="18" customHeight="1">
      <c r="A64" s="28">
        <f>IF(B64&lt;&gt;"",ROW()-2,"")</f>
        <v/>
      </c>
      <c r="B64" s="23" t="inlineStr">
        <is>
          <t>801241</t>
        </is>
      </c>
      <c r="C64" s="24" t="inlineStr"/>
      <c r="D64" s="51" t="n"/>
      <c r="E64" s="51" t="n"/>
      <c r="F64" s="13">
        <f>IF(AND(D64&lt;&gt;"",E64&lt;&gt;""),E64-D64,"")</f>
        <v/>
      </c>
      <c r="G64" s="24" t="inlineStr">
        <is>
          <t>9300-01-133</t>
        </is>
      </c>
      <c r="H64" s="24" t="inlineStr">
        <is>
          <t>LABEL - EMERGENCY STOP - ENGLISH ARABIC 80 x 35</t>
        </is>
      </c>
      <c r="I64" s="28" t="n">
        <v>2</v>
      </c>
      <c r="J64" s="52" t="n">
        <v>10</v>
      </c>
      <c r="K64" s="52">
        <f>IF(AND(I64&lt;&gt;"",J64&lt;&gt;""),I64*J64,"")</f>
        <v/>
      </c>
      <c r="L64" s="24" t="inlineStr"/>
      <c r="M64" s="24" t="inlineStr">
        <is>
          <t>Sri</t>
        </is>
      </c>
      <c r="N64" s="24" t="inlineStr"/>
      <c r="O64" s="24" t="inlineStr">
        <is>
          <t>Ordered</t>
        </is>
      </c>
      <c r="P64" s="24" t="inlineStr">
        <is>
          <t>Niddrie</t>
        </is>
      </c>
      <c r="Q64" s="24" t="inlineStr">
        <is>
          <t>PO119955</t>
        </is>
      </c>
      <c r="R64" s="51" t="n"/>
      <c r="S64" s="51" t="n"/>
      <c r="T64" s="51" t="n"/>
      <c r="U64" s="24">
        <f>IF(T64&lt;&gt;"","Received",IF(AND(S64&lt;&gt;"",S64&lt;TODAY()),"⚠ Overdue","On Track"))</f>
        <v/>
      </c>
      <c r="V64" s="24" t="inlineStr"/>
    </row>
    <row r="65" ht="18" customHeight="1">
      <c r="A65" s="34">
        <f>IF(B65&lt;&gt;"",ROW()-2,"")</f>
        <v/>
      </c>
      <c r="B65" s="29" t="inlineStr">
        <is>
          <t>801241</t>
        </is>
      </c>
      <c r="C65" s="30" t="inlineStr"/>
      <c r="D65" s="53" t="n"/>
      <c r="E65" s="53" t="n"/>
      <c r="F65" s="18">
        <f>IF(AND(D65&lt;&gt;"",E65&lt;&gt;""),E65-D65,"")</f>
        <v/>
      </c>
      <c r="G65" s="30" t="inlineStr">
        <is>
          <t>9300-01-134</t>
        </is>
      </c>
      <c r="H65" s="30" t="inlineStr">
        <is>
          <t>LABEL FILTER VESSEL SHOW FLOW - ENGLISH ARABIC</t>
        </is>
      </c>
      <c r="I65" s="34" t="n">
        <v>1</v>
      </c>
      <c r="J65" s="54" t="n">
        <v>10</v>
      </c>
      <c r="K65" s="54">
        <f>IF(AND(I65&lt;&gt;"",J65&lt;&gt;""),I65*J65,"")</f>
        <v/>
      </c>
      <c r="L65" s="30" t="inlineStr"/>
      <c r="M65" s="30" t="inlineStr">
        <is>
          <t>Sri</t>
        </is>
      </c>
      <c r="N65" s="30" t="inlineStr"/>
      <c r="O65" s="30" t="inlineStr">
        <is>
          <t>Ordered</t>
        </is>
      </c>
      <c r="P65" s="30" t="inlineStr">
        <is>
          <t>Niddrie</t>
        </is>
      </c>
      <c r="Q65" s="30" t="inlineStr">
        <is>
          <t>PO119955</t>
        </is>
      </c>
      <c r="R65" s="53" t="n"/>
      <c r="S65" s="53" t="n"/>
      <c r="T65" s="53" t="n"/>
      <c r="U65" s="30">
        <f>IF(T65&lt;&gt;"","Received",IF(AND(S65&lt;&gt;"",S65&lt;TODAY()),"⚠ Overdue","On Track"))</f>
        <v/>
      </c>
      <c r="V65" s="30" t="inlineStr"/>
    </row>
    <row r="66" ht="18" customHeight="1">
      <c r="A66" s="28">
        <f>IF(B66&lt;&gt;"",ROW()-2,"")</f>
        <v/>
      </c>
      <c r="B66" s="23" t="inlineStr">
        <is>
          <t>801241</t>
        </is>
      </c>
      <c r="C66" s="24" t="inlineStr"/>
      <c r="D66" s="51" t="n"/>
      <c r="E66" s="51" t="n"/>
      <c r="F66" s="13">
        <f>IF(AND(D66&lt;&gt;"",E66&lt;&gt;""),E66-D66,"")</f>
        <v/>
      </c>
      <c r="G66" s="24" t="inlineStr">
        <is>
          <t>9300-01-135</t>
        </is>
      </c>
      <c r="H66" s="24" t="inlineStr">
        <is>
          <t>LABEL ALJAC SHOW FLOW - ENGLISH ARABIC</t>
        </is>
      </c>
      <c r="I66" s="28" t="n">
        <v>1</v>
      </c>
      <c r="J66" s="52" t="n">
        <v>10</v>
      </c>
      <c r="K66" s="52">
        <f>IF(AND(I66&lt;&gt;"",J66&lt;&gt;""),I66*J66,"")</f>
        <v/>
      </c>
      <c r="L66" s="24" t="inlineStr"/>
      <c r="M66" s="24" t="inlineStr">
        <is>
          <t>Sri</t>
        </is>
      </c>
      <c r="N66" s="24" t="inlineStr"/>
      <c r="O66" s="24" t="inlineStr">
        <is>
          <t>Ordered</t>
        </is>
      </c>
      <c r="P66" s="24" t="inlineStr">
        <is>
          <t>Niddrie</t>
        </is>
      </c>
      <c r="Q66" s="24" t="inlineStr">
        <is>
          <t>PO119955</t>
        </is>
      </c>
      <c r="R66" s="51" t="n"/>
      <c r="S66" s="51" t="n"/>
      <c r="T66" s="51" t="n"/>
      <c r="U66" s="24">
        <f>IF(T66&lt;&gt;"","Received",IF(AND(S66&lt;&gt;"",S66&lt;TODAY()),"⚠ Overdue","On Track"))</f>
        <v/>
      </c>
      <c r="V66" s="24" t="inlineStr"/>
    </row>
    <row r="67" ht="18" customHeight="1">
      <c r="A67" s="34">
        <f>IF(B67&lt;&gt;"",ROW()-2,"")</f>
        <v/>
      </c>
      <c r="B67" s="29" t="inlineStr">
        <is>
          <t>801241</t>
        </is>
      </c>
      <c r="C67" s="30" t="inlineStr"/>
      <c r="D67" s="53" t="n"/>
      <c r="E67" s="53" t="n"/>
      <c r="F67" s="18">
        <f>IF(AND(D67&lt;&gt;"",E67&lt;&gt;""),E67-D67,"")</f>
        <v/>
      </c>
      <c r="G67" s="30" t="inlineStr">
        <is>
          <t>9300-01-136</t>
        </is>
      </c>
      <c r="H67" s="30" t="inlineStr">
        <is>
          <t>LABEL - HYDRANT DISPENSER BALL VALVE OPEN/CLOSED - ENGLISH ARABIC</t>
        </is>
      </c>
      <c r="I67" s="34" t="n">
        <v>1</v>
      </c>
      <c r="J67" s="54" t="n">
        <v>10</v>
      </c>
      <c r="K67" s="54">
        <f>IF(AND(I67&lt;&gt;"",J67&lt;&gt;""),I67*J67,"")</f>
        <v/>
      </c>
      <c r="L67" s="30" t="inlineStr"/>
      <c r="M67" s="30" t="inlineStr">
        <is>
          <t>Sri</t>
        </is>
      </c>
      <c r="N67" s="30" t="inlineStr"/>
      <c r="O67" s="30" t="inlineStr">
        <is>
          <t>Ordered</t>
        </is>
      </c>
      <c r="P67" s="30" t="inlineStr">
        <is>
          <t>Niddrie</t>
        </is>
      </c>
      <c r="Q67" s="30" t="inlineStr">
        <is>
          <t>PO119955</t>
        </is>
      </c>
      <c r="R67" s="53" t="n"/>
      <c r="S67" s="53" t="n"/>
      <c r="T67" s="53" t="n"/>
      <c r="U67" s="30">
        <f>IF(T67&lt;&gt;"","Received",IF(AND(S67&lt;&gt;"",S67&lt;TODAY()),"⚠ Overdue","On Track"))</f>
        <v/>
      </c>
      <c r="V67" s="30" t="inlineStr"/>
    </row>
    <row r="68" ht="18" customHeight="1">
      <c r="A68" s="28">
        <f>IF(B68&lt;&gt;"",ROW()-2,"")</f>
        <v/>
      </c>
      <c r="B68" s="23" t="inlineStr">
        <is>
          <t>801216</t>
        </is>
      </c>
      <c r="C68" s="24" t="inlineStr"/>
      <c r="D68" s="51" t="n"/>
      <c r="E68" s="51" t="n"/>
      <c r="F68" s="13">
        <f>IF(AND(D68&lt;&gt;"",E68&lt;&gt;""),E68-D68,"")</f>
        <v/>
      </c>
      <c r="G68" s="24" t="inlineStr">
        <is>
          <t>9300-01-137</t>
        </is>
      </c>
      <c r="H68" s="24" t="inlineStr">
        <is>
          <t>LABEL THIS IS NOT A FILL POINT - ENGLISH ARABIC</t>
        </is>
      </c>
      <c r="I68" s="28" t="n">
        <v>1</v>
      </c>
      <c r="J68" s="52" t="n">
        <v>80</v>
      </c>
      <c r="K68" s="52">
        <f>IF(AND(I68&lt;&gt;"",J68&lt;&gt;""),I68*J68,"")</f>
        <v/>
      </c>
      <c r="L68" s="24" t="inlineStr"/>
      <c r="M68" s="24" t="inlineStr">
        <is>
          <t>Sri</t>
        </is>
      </c>
      <c r="N68" s="24" t="inlineStr"/>
      <c r="O68" s="24" t="inlineStr">
        <is>
          <t>Ordered</t>
        </is>
      </c>
      <c r="P68" s="24" t="inlineStr">
        <is>
          <t>Niddrie</t>
        </is>
      </c>
      <c r="Q68" s="24" t="inlineStr">
        <is>
          <t>PO119955</t>
        </is>
      </c>
      <c r="R68" s="51" t="n"/>
      <c r="S68" s="51" t="n"/>
      <c r="T68" s="51" t="n"/>
      <c r="U68" s="24">
        <f>IF(T68&lt;&gt;"","Received",IF(AND(S68&lt;&gt;"",S68&lt;TODAY()),"⚠ Overdue","On Track"))</f>
        <v/>
      </c>
      <c r="V68" s="24" t="inlineStr"/>
    </row>
    <row r="69" ht="18" customHeight="1">
      <c r="A69" s="34">
        <f>IF(B69&lt;&gt;"",ROW()-2,"")</f>
        <v/>
      </c>
      <c r="B69" s="29" t="inlineStr">
        <is>
          <t>801217</t>
        </is>
      </c>
      <c r="C69" s="30" t="inlineStr"/>
      <c r="D69" s="53" t="n"/>
      <c r="E69" s="53" t="n"/>
      <c r="F69" s="18">
        <f>IF(AND(D69&lt;&gt;"",E69&lt;&gt;""),E69-D69,"")</f>
        <v/>
      </c>
      <c r="G69" s="30" t="inlineStr">
        <is>
          <t>9300-01-137</t>
        </is>
      </c>
      <c r="H69" s="30" t="inlineStr">
        <is>
          <t>LABEL THIS IS NOT A FILL POINT - ENGLISH ARABIC</t>
        </is>
      </c>
      <c r="I69" s="34" t="n">
        <v>1</v>
      </c>
      <c r="J69" s="54" t="n">
        <v>80</v>
      </c>
      <c r="K69" s="54">
        <f>IF(AND(I69&lt;&gt;"",J69&lt;&gt;""),I69*J69,"")</f>
        <v/>
      </c>
      <c r="L69" s="30" t="inlineStr"/>
      <c r="M69" s="30" t="inlineStr">
        <is>
          <t>Sri</t>
        </is>
      </c>
      <c r="N69" s="30" t="inlineStr"/>
      <c r="O69" s="30" t="inlineStr">
        <is>
          <t>Ordered</t>
        </is>
      </c>
      <c r="P69" s="30" t="inlineStr">
        <is>
          <t>Niddrie</t>
        </is>
      </c>
      <c r="Q69" s="30" t="inlineStr">
        <is>
          <t>PO119955</t>
        </is>
      </c>
      <c r="R69" s="53" t="n"/>
      <c r="S69" s="53" t="n"/>
      <c r="T69" s="53" t="n"/>
      <c r="U69" s="30">
        <f>IF(T69&lt;&gt;"","Received",IF(AND(S69&lt;&gt;"",S69&lt;TODAY()),"⚠ Overdue","On Track"))</f>
        <v/>
      </c>
      <c r="V69" s="30" t="inlineStr"/>
    </row>
    <row r="70" ht="18" customHeight="1">
      <c r="A70" s="28">
        <f>IF(B70&lt;&gt;"",ROW()-2,"")</f>
        <v/>
      </c>
      <c r="B70" s="23" t="inlineStr">
        <is>
          <t>801218</t>
        </is>
      </c>
      <c r="C70" s="24" t="inlineStr"/>
      <c r="D70" s="51" t="n"/>
      <c r="E70" s="51" t="n"/>
      <c r="F70" s="13">
        <f>IF(AND(D70&lt;&gt;"",E70&lt;&gt;""),E70-D70,"")</f>
        <v/>
      </c>
      <c r="G70" s="24" t="inlineStr">
        <is>
          <t>9300-01-137</t>
        </is>
      </c>
      <c r="H70" s="24" t="inlineStr">
        <is>
          <t>LABEL THIS IS NOT A FILL POINT - ENGLISH ARABIC</t>
        </is>
      </c>
      <c r="I70" s="28" t="n">
        <v>1</v>
      </c>
      <c r="J70" s="52" t="n">
        <v>80</v>
      </c>
      <c r="K70" s="52">
        <f>IF(AND(I70&lt;&gt;"",J70&lt;&gt;""),I70*J70,"")</f>
        <v/>
      </c>
      <c r="L70" s="24" t="inlineStr"/>
      <c r="M70" s="24" t="inlineStr">
        <is>
          <t>Sri</t>
        </is>
      </c>
      <c r="N70" s="24" t="inlineStr"/>
      <c r="O70" s="24" t="inlineStr">
        <is>
          <t>Ordered</t>
        </is>
      </c>
      <c r="P70" s="24" t="inlineStr">
        <is>
          <t>Niddrie</t>
        </is>
      </c>
      <c r="Q70" s="24" t="inlineStr">
        <is>
          <t>PO119955</t>
        </is>
      </c>
      <c r="R70" s="51" t="n"/>
      <c r="S70" s="51" t="n"/>
      <c r="T70" s="51" t="n"/>
      <c r="U70" s="24">
        <f>IF(T70&lt;&gt;"","Received",IF(AND(S70&lt;&gt;"",S70&lt;TODAY()),"⚠ Overdue","On Track"))</f>
        <v/>
      </c>
      <c r="V70" s="24" t="inlineStr"/>
    </row>
    <row r="71" ht="18" customHeight="1">
      <c r="A71" s="34">
        <f>IF(B71&lt;&gt;"",ROW()-2,"")</f>
        <v/>
      </c>
      <c r="B71" s="29" t="inlineStr">
        <is>
          <t>801219</t>
        </is>
      </c>
      <c r="C71" s="30" t="inlineStr"/>
      <c r="D71" s="53" t="n"/>
      <c r="E71" s="53" t="n"/>
      <c r="F71" s="18">
        <f>IF(AND(D71&lt;&gt;"",E71&lt;&gt;""),E71-D71,"")</f>
        <v/>
      </c>
      <c r="G71" s="30" t="inlineStr">
        <is>
          <t>9300-01-137</t>
        </is>
      </c>
      <c r="H71" s="30" t="inlineStr">
        <is>
          <t>LABEL THIS IS NOT A FILL POINT - ENGLISH ARABIC</t>
        </is>
      </c>
      <c r="I71" s="34" t="n">
        <v>1</v>
      </c>
      <c r="J71" s="54" t="n">
        <v>80</v>
      </c>
      <c r="K71" s="54">
        <f>IF(AND(I71&lt;&gt;"",J71&lt;&gt;""),I71*J71,"")</f>
        <v/>
      </c>
      <c r="L71" s="30" t="inlineStr"/>
      <c r="M71" s="30" t="inlineStr">
        <is>
          <t>Sri</t>
        </is>
      </c>
      <c r="N71" s="30" t="inlineStr"/>
      <c r="O71" s="30" t="inlineStr">
        <is>
          <t>Ordered</t>
        </is>
      </c>
      <c r="P71" s="30" t="inlineStr">
        <is>
          <t>Niddrie</t>
        </is>
      </c>
      <c r="Q71" s="30" t="inlineStr">
        <is>
          <t>PO119955</t>
        </is>
      </c>
      <c r="R71" s="53" t="n"/>
      <c r="S71" s="53" t="n"/>
      <c r="T71" s="53" t="n"/>
      <c r="U71" s="30">
        <f>IF(T71&lt;&gt;"","Received",IF(AND(S71&lt;&gt;"",S71&lt;TODAY()),"⚠ Overdue","On Track"))</f>
        <v/>
      </c>
      <c r="V71" s="30" t="inlineStr"/>
    </row>
    <row r="72" ht="18" customHeight="1">
      <c r="A72" s="28">
        <f>IF(B72&lt;&gt;"",ROW()-2,"")</f>
        <v/>
      </c>
      <c r="B72" s="23" t="inlineStr">
        <is>
          <t>801237</t>
        </is>
      </c>
      <c r="C72" s="24" t="inlineStr"/>
      <c r="D72" s="51" t="n"/>
      <c r="E72" s="51" t="n"/>
      <c r="F72" s="13">
        <f>IF(AND(D72&lt;&gt;"",E72&lt;&gt;""),E72-D72,"")</f>
        <v/>
      </c>
      <c r="G72" s="24" t="inlineStr">
        <is>
          <t>9300-01-137</t>
        </is>
      </c>
      <c r="H72" s="24" t="inlineStr">
        <is>
          <t>LABEL THIS IS NOT A FILL POINT - ENGLISH ARABIC</t>
        </is>
      </c>
      <c r="I72" s="28" t="n">
        <v>1</v>
      </c>
      <c r="J72" s="52" t="n">
        <v>80</v>
      </c>
      <c r="K72" s="52">
        <f>IF(AND(I72&lt;&gt;"",J72&lt;&gt;""),I72*J72,"")</f>
        <v/>
      </c>
      <c r="L72" s="24" t="inlineStr"/>
      <c r="M72" s="24" t="inlineStr">
        <is>
          <t>Sri</t>
        </is>
      </c>
      <c r="N72" s="24" t="inlineStr"/>
      <c r="O72" s="24" t="inlineStr">
        <is>
          <t>Ordered</t>
        </is>
      </c>
      <c r="P72" s="24" t="inlineStr">
        <is>
          <t>Niddrie</t>
        </is>
      </c>
      <c r="Q72" s="24" t="inlineStr">
        <is>
          <t>PO119955</t>
        </is>
      </c>
      <c r="R72" s="51" t="n"/>
      <c r="S72" s="51" t="n"/>
      <c r="T72" s="51" t="n"/>
      <c r="U72" s="24">
        <f>IF(T72&lt;&gt;"","Received",IF(AND(S72&lt;&gt;"",S72&lt;TODAY()),"⚠ Overdue","On Track"))</f>
        <v/>
      </c>
      <c r="V72" s="24" t="inlineStr"/>
    </row>
    <row r="73" ht="18" customHeight="1">
      <c r="A73" s="34">
        <f>IF(B73&lt;&gt;"",ROW()-2,"")</f>
        <v/>
      </c>
      <c r="B73" s="29" t="inlineStr">
        <is>
          <t>801238</t>
        </is>
      </c>
      <c r="C73" s="30" t="inlineStr"/>
      <c r="D73" s="53" t="n"/>
      <c r="E73" s="53" t="n"/>
      <c r="F73" s="18">
        <f>IF(AND(D73&lt;&gt;"",E73&lt;&gt;""),E73-D73,"")</f>
        <v/>
      </c>
      <c r="G73" s="30" t="inlineStr">
        <is>
          <t>9300-01-137</t>
        </is>
      </c>
      <c r="H73" s="30" t="inlineStr">
        <is>
          <t>LABEL THIS IS NOT A FILL POINT - ENGLISH ARABIC</t>
        </is>
      </c>
      <c r="I73" s="34" t="n">
        <v>1</v>
      </c>
      <c r="J73" s="54" t="n">
        <v>80</v>
      </c>
      <c r="K73" s="54">
        <f>IF(AND(I73&lt;&gt;"",J73&lt;&gt;""),I73*J73,"")</f>
        <v/>
      </c>
      <c r="L73" s="30" t="inlineStr"/>
      <c r="M73" s="30" t="inlineStr">
        <is>
          <t>Sri</t>
        </is>
      </c>
      <c r="N73" s="30" t="inlineStr"/>
      <c r="O73" s="30" t="inlineStr">
        <is>
          <t>Ordered</t>
        </is>
      </c>
      <c r="P73" s="30" t="inlineStr">
        <is>
          <t>Niddrie</t>
        </is>
      </c>
      <c r="Q73" s="30" t="inlineStr">
        <is>
          <t>PO119955</t>
        </is>
      </c>
      <c r="R73" s="53" t="n"/>
      <c r="S73" s="53" t="n"/>
      <c r="T73" s="53" t="n"/>
      <c r="U73" s="30">
        <f>IF(T73&lt;&gt;"","Received",IF(AND(S73&lt;&gt;"",S73&lt;TODAY()),"⚠ Overdue","On Track"))</f>
        <v/>
      </c>
      <c r="V73" s="30" t="inlineStr"/>
    </row>
    <row r="74" ht="18" customHeight="1">
      <c r="A74" s="28">
        <f>IF(B74&lt;&gt;"",ROW()-2,"")</f>
        <v/>
      </c>
      <c r="B74" s="23" t="inlineStr">
        <is>
          <t>801239</t>
        </is>
      </c>
      <c r="C74" s="24" t="inlineStr"/>
      <c r="D74" s="51" t="n"/>
      <c r="E74" s="51" t="n"/>
      <c r="F74" s="13">
        <f>IF(AND(D74&lt;&gt;"",E74&lt;&gt;""),E74-D74,"")</f>
        <v/>
      </c>
      <c r="G74" s="24" t="inlineStr">
        <is>
          <t>9300-01-137</t>
        </is>
      </c>
      <c r="H74" s="24" t="inlineStr">
        <is>
          <t>LABEL THIS IS NOT A FILL POINT - ENGLISH ARABIC</t>
        </is>
      </c>
      <c r="I74" s="28" t="n">
        <v>1</v>
      </c>
      <c r="J74" s="52" t="n">
        <v>80</v>
      </c>
      <c r="K74" s="52">
        <f>IF(AND(I74&lt;&gt;"",J74&lt;&gt;""),I74*J74,"")</f>
        <v/>
      </c>
      <c r="L74" s="24" t="inlineStr"/>
      <c r="M74" s="24" t="inlineStr">
        <is>
          <t>Sri</t>
        </is>
      </c>
      <c r="N74" s="24" t="inlineStr"/>
      <c r="O74" s="24" t="inlineStr">
        <is>
          <t>Ordered</t>
        </is>
      </c>
      <c r="P74" s="24" t="inlineStr">
        <is>
          <t>Niddrie</t>
        </is>
      </c>
      <c r="Q74" s="24" t="inlineStr">
        <is>
          <t>PO119955</t>
        </is>
      </c>
      <c r="R74" s="51" t="n"/>
      <c r="S74" s="51" t="n"/>
      <c r="T74" s="51" t="n"/>
      <c r="U74" s="24">
        <f>IF(T74&lt;&gt;"","Received",IF(AND(S74&lt;&gt;"",S74&lt;TODAY()),"⚠ Overdue","On Track"))</f>
        <v/>
      </c>
      <c r="V74" s="24" t="inlineStr"/>
    </row>
    <row r="75" ht="18" customHeight="1">
      <c r="A75" s="34">
        <f>IF(B75&lt;&gt;"",ROW()-2,"")</f>
        <v/>
      </c>
      <c r="B75" s="29" t="inlineStr">
        <is>
          <t>801240</t>
        </is>
      </c>
      <c r="C75" s="30" t="inlineStr"/>
      <c r="D75" s="53" t="n"/>
      <c r="E75" s="53" t="n"/>
      <c r="F75" s="18">
        <f>IF(AND(D75&lt;&gt;"",E75&lt;&gt;""),E75-D75,"")</f>
        <v/>
      </c>
      <c r="G75" s="30" t="inlineStr">
        <is>
          <t>9300-01-137</t>
        </is>
      </c>
      <c r="H75" s="30" t="inlineStr">
        <is>
          <t>LABEL THIS IS NOT A FILL POINT - ENGLISH ARABIC</t>
        </is>
      </c>
      <c r="I75" s="34" t="n">
        <v>1</v>
      </c>
      <c r="J75" s="54" t="n">
        <v>80</v>
      </c>
      <c r="K75" s="54">
        <f>IF(AND(I75&lt;&gt;"",J75&lt;&gt;""),I75*J75,"")</f>
        <v/>
      </c>
      <c r="L75" s="30" t="inlineStr"/>
      <c r="M75" s="30" t="inlineStr">
        <is>
          <t>Sri</t>
        </is>
      </c>
      <c r="N75" s="30" t="inlineStr"/>
      <c r="O75" s="30" t="inlineStr">
        <is>
          <t>Ordered</t>
        </is>
      </c>
      <c r="P75" s="30" t="inlineStr">
        <is>
          <t>Niddrie</t>
        </is>
      </c>
      <c r="Q75" s="30" t="inlineStr">
        <is>
          <t>PO119955</t>
        </is>
      </c>
      <c r="R75" s="53" t="n"/>
      <c r="S75" s="53" t="n"/>
      <c r="T75" s="53" t="n"/>
      <c r="U75" s="30">
        <f>IF(T75&lt;&gt;"","Received",IF(AND(S75&lt;&gt;"",S75&lt;TODAY()),"⚠ Overdue","On Track"))</f>
        <v/>
      </c>
      <c r="V75" s="30" t="inlineStr"/>
    </row>
    <row r="76" ht="18" customHeight="1">
      <c r="A76" s="28">
        <f>IF(B76&lt;&gt;"",ROW()-2,"")</f>
        <v/>
      </c>
      <c r="B76" s="23" t="inlineStr">
        <is>
          <t>801217</t>
        </is>
      </c>
      <c r="C76" s="24" t="inlineStr"/>
      <c r="D76" s="51" t="n"/>
      <c r="E76" s="51" t="n"/>
      <c r="F76" s="13">
        <f>IF(AND(D76&lt;&gt;"",E76&lt;&gt;""),E76-D76,"")</f>
        <v/>
      </c>
      <c r="G76" s="24" t="inlineStr">
        <is>
          <t>BSPCRN025X020A</t>
        </is>
      </c>
      <c r="H76" s="24" t="inlineStr">
        <is>
          <t>HEXAGON REDUCING NIPPLE R25XR20 CL3000 BSP 316</t>
        </is>
      </c>
      <c r="I76" s="28" t="n">
        <v>4</v>
      </c>
      <c r="J76" s="52" t="n">
        <v>31</v>
      </c>
      <c r="K76" s="52">
        <f>IF(AND(I76&lt;&gt;"",J76&lt;&gt;""),I76*J76,"")</f>
        <v/>
      </c>
      <c r="L76" s="24" t="inlineStr"/>
      <c r="M76" s="24" t="inlineStr"/>
      <c r="N76" s="24" t="inlineStr"/>
      <c r="O76" s="24" t="inlineStr">
        <is>
          <t>Ordered</t>
        </is>
      </c>
      <c r="P76" s="24" t="inlineStr">
        <is>
          <t>PROCHEM</t>
        </is>
      </c>
      <c r="Q76" s="24" t="inlineStr">
        <is>
          <t>PO120094</t>
        </is>
      </c>
      <c r="R76" s="51" t="n"/>
      <c r="S76" s="51" t="n"/>
      <c r="T76" s="51" t="n"/>
      <c r="U76" s="24">
        <f>IF(T76&lt;&gt;"","Received",IF(AND(S76&lt;&gt;"",S76&lt;TODAY()),"⚠ Overdue","On Track"))</f>
        <v/>
      </c>
      <c r="V76" s="24" t="inlineStr"/>
    </row>
    <row r="77" ht="18" customHeight="1">
      <c r="A77" s="34">
        <f>IF(B77&lt;&gt;"",ROW()-2,"")</f>
        <v/>
      </c>
      <c r="B77" s="29" t="inlineStr">
        <is>
          <t>801218</t>
        </is>
      </c>
      <c r="C77" s="30" t="inlineStr"/>
      <c r="D77" s="53" t="n"/>
      <c r="E77" s="53" t="n"/>
      <c r="F77" s="18">
        <f>IF(AND(D77&lt;&gt;"",E77&lt;&gt;""),E77-D77,"")</f>
        <v/>
      </c>
      <c r="G77" s="30" t="inlineStr">
        <is>
          <t>BSPCRN025X020A</t>
        </is>
      </c>
      <c r="H77" s="30" t="inlineStr">
        <is>
          <t>HEXAGON REDUCING NIPPLE R25XR20 CL3000 BSP 317</t>
        </is>
      </c>
      <c r="I77" s="34" t="n">
        <v>4</v>
      </c>
      <c r="J77" s="54" t="n">
        <v>31</v>
      </c>
      <c r="K77" s="54">
        <f>IF(AND(I77&lt;&gt;"",J77&lt;&gt;""),I77*J77,"")</f>
        <v/>
      </c>
      <c r="L77" s="30" t="inlineStr"/>
      <c r="M77" s="30" t="inlineStr"/>
      <c r="N77" s="30" t="inlineStr"/>
      <c r="O77" s="30" t="inlineStr">
        <is>
          <t>Ordered</t>
        </is>
      </c>
      <c r="P77" s="30" t="inlineStr">
        <is>
          <t>PROCHEM</t>
        </is>
      </c>
      <c r="Q77" s="30" t="inlineStr">
        <is>
          <t>PO120094</t>
        </is>
      </c>
      <c r="R77" s="53" t="n"/>
      <c r="S77" s="53" t="n"/>
      <c r="T77" s="53" t="n"/>
      <c r="U77" s="30">
        <f>IF(T77&lt;&gt;"","Received",IF(AND(S77&lt;&gt;"",S77&lt;TODAY()),"⚠ Overdue","On Track"))</f>
        <v/>
      </c>
      <c r="V77" s="30" t="inlineStr"/>
    </row>
    <row r="78" ht="18" customHeight="1">
      <c r="A78" s="28">
        <f>IF(B78&lt;&gt;"",ROW()-2,"")</f>
        <v/>
      </c>
      <c r="B78" s="23" t="inlineStr">
        <is>
          <t>801219</t>
        </is>
      </c>
      <c r="C78" s="24" t="inlineStr"/>
      <c r="D78" s="51" t="n"/>
      <c r="E78" s="51" t="n"/>
      <c r="F78" s="13">
        <f>IF(AND(D78&lt;&gt;"",E78&lt;&gt;""),E78-D78,"")</f>
        <v/>
      </c>
      <c r="G78" s="24" t="inlineStr">
        <is>
          <t>BSPCRN025X020A</t>
        </is>
      </c>
      <c r="H78" s="24" t="inlineStr">
        <is>
          <t>HEXAGON REDUCING NIPPLE R25XR20 CL3000 BSP 318</t>
        </is>
      </c>
      <c r="I78" s="28" t="n">
        <v>4</v>
      </c>
      <c r="J78" s="52" t="n">
        <v>31</v>
      </c>
      <c r="K78" s="52">
        <f>IF(AND(I78&lt;&gt;"",J78&lt;&gt;""),I78*J78,"")</f>
        <v/>
      </c>
      <c r="L78" s="24" t="inlineStr"/>
      <c r="M78" s="24" t="inlineStr"/>
      <c r="N78" s="24" t="inlineStr"/>
      <c r="O78" s="24" t="inlineStr">
        <is>
          <t>Ordered</t>
        </is>
      </c>
      <c r="P78" s="24" t="inlineStr">
        <is>
          <t>PROCHEM</t>
        </is>
      </c>
      <c r="Q78" s="24" t="inlineStr">
        <is>
          <t>PO120094</t>
        </is>
      </c>
      <c r="R78" s="51" t="n"/>
      <c r="S78" s="51" t="n"/>
      <c r="T78" s="51" t="n"/>
      <c r="U78" s="24">
        <f>IF(T78&lt;&gt;"","Received",IF(AND(S78&lt;&gt;"",S78&lt;TODAY()),"⚠ Overdue","On Track"))</f>
        <v/>
      </c>
      <c r="V78" s="24" t="inlineStr"/>
    </row>
    <row r="79" ht="18" customHeight="1">
      <c r="A79" s="34">
        <f>IF(B79&lt;&gt;"",ROW()-2,"")</f>
        <v/>
      </c>
      <c r="B79" s="29" t="inlineStr">
        <is>
          <t>801237</t>
        </is>
      </c>
      <c r="C79" s="30" t="inlineStr"/>
      <c r="D79" s="53" t="n"/>
      <c r="E79" s="53" t="n"/>
      <c r="F79" s="18">
        <f>IF(AND(D79&lt;&gt;"",E79&lt;&gt;""),E79-D79,"")</f>
        <v/>
      </c>
      <c r="G79" s="30" t="inlineStr">
        <is>
          <t>BSPCRN025X020A</t>
        </is>
      </c>
      <c r="H79" s="30" t="inlineStr">
        <is>
          <t>HEXAGON REDUCING NIPPLE R25XR20 CL3000 BSP 319</t>
        </is>
      </c>
      <c r="I79" s="34" t="n">
        <v>4</v>
      </c>
      <c r="J79" s="54" t="n">
        <v>31</v>
      </c>
      <c r="K79" s="54">
        <f>IF(AND(I79&lt;&gt;"",J79&lt;&gt;""),I79*J79,"")</f>
        <v/>
      </c>
      <c r="L79" s="30" t="inlineStr"/>
      <c r="M79" s="30" t="inlineStr"/>
      <c r="N79" s="30" t="inlineStr"/>
      <c r="O79" s="30" t="inlineStr">
        <is>
          <t>Ordered</t>
        </is>
      </c>
      <c r="P79" s="30" t="inlineStr">
        <is>
          <t>PROCHEM</t>
        </is>
      </c>
      <c r="Q79" s="30" t="inlineStr">
        <is>
          <t>PO120094</t>
        </is>
      </c>
      <c r="R79" s="53" t="n"/>
      <c r="S79" s="53" t="n"/>
      <c r="T79" s="53" t="n"/>
      <c r="U79" s="30">
        <f>IF(T79&lt;&gt;"","Received",IF(AND(S79&lt;&gt;"",S79&lt;TODAY()),"⚠ Overdue","On Track"))</f>
        <v/>
      </c>
      <c r="V79" s="30" t="inlineStr"/>
    </row>
    <row r="80" ht="18" customHeight="1">
      <c r="A80" s="28">
        <f>IF(B80&lt;&gt;"",ROW()-2,"")</f>
        <v/>
      </c>
      <c r="B80" s="23" t="inlineStr">
        <is>
          <t>801238</t>
        </is>
      </c>
      <c r="C80" s="24" t="inlineStr"/>
      <c r="D80" s="51" t="n"/>
      <c r="E80" s="51" t="n"/>
      <c r="F80" s="13">
        <f>IF(AND(D80&lt;&gt;"",E80&lt;&gt;""),E80-D80,"")</f>
        <v/>
      </c>
      <c r="G80" s="24" t="inlineStr">
        <is>
          <t>BSPCRN025X020A</t>
        </is>
      </c>
      <c r="H80" s="24" t="inlineStr">
        <is>
          <t>HEXAGON REDUCING NIPPLE R25XR20 CL3000 BSP 320</t>
        </is>
      </c>
      <c r="I80" s="28" t="n">
        <v>4</v>
      </c>
      <c r="J80" s="52" t="n">
        <v>31</v>
      </c>
      <c r="K80" s="52">
        <f>IF(AND(I80&lt;&gt;"",J80&lt;&gt;""),I80*J80,"")</f>
        <v/>
      </c>
      <c r="L80" s="24" t="inlineStr"/>
      <c r="M80" s="24" t="inlineStr"/>
      <c r="N80" s="24" t="inlineStr"/>
      <c r="O80" s="24" t="inlineStr">
        <is>
          <t>Ordered</t>
        </is>
      </c>
      <c r="P80" s="24" t="inlineStr">
        <is>
          <t>PROCHEM</t>
        </is>
      </c>
      <c r="Q80" s="24" t="inlineStr">
        <is>
          <t>PO120094</t>
        </is>
      </c>
      <c r="R80" s="51" t="n"/>
      <c r="S80" s="51" t="n"/>
      <c r="T80" s="51" t="n"/>
      <c r="U80" s="24">
        <f>IF(T80&lt;&gt;"","Received",IF(AND(S80&lt;&gt;"",S80&lt;TODAY()),"⚠ Overdue","On Track"))</f>
        <v/>
      </c>
      <c r="V80" s="24" t="inlineStr"/>
    </row>
    <row r="81" ht="18" customHeight="1">
      <c r="A81" s="34">
        <f>IF(B81&lt;&gt;"",ROW()-2,"")</f>
        <v/>
      </c>
      <c r="B81" s="29" t="inlineStr">
        <is>
          <t>801239</t>
        </is>
      </c>
      <c r="C81" s="30" t="inlineStr"/>
      <c r="D81" s="53" t="n"/>
      <c r="E81" s="53" t="n"/>
      <c r="F81" s="18">
        <f>IF(AND(D81&lt;&gt;"",E81&lt;&gt;""),E81-D81,"")</f>
        <v/>
      </c>
      <c r="G81" s="30" t="inlineStr">
        <is>
          <t>BSPCRN025X020A</t>
        </is>
      </c>
      <c r="H81" s="30" t="inlineStr">
        <is>
          <t>HEXAGON REDUCING NIPPLE R25XR20 CL3000 BSP 321</t>
        </is>
      </c>
      <c r="I81" s="34" t="n">
        <v>4</v>
      </c>
      <c r="J81" s="54" t="n">
        <v>31</v>
      </c>
      <c r="K81" s="54">
        <f>IF(AND(I81&lt;&gt;"",J81&lt;&gt;""),I81*J81,"")</f>
        <v/>
      </c>
      <c r="L81" s="30" t="inlineStr"/>
      <c r="M81" s="30" t="inlineStr"/>
      <c r="N81" s="30" t="inlineStr"/>
      <c r="O81" s="30" t="inlineStr">
        <is>
          <t>Ordered</t>
        </is>
      </c>
      <c r="P81" s="30" t="inlineStr">
        <is>
          <t>PROCHEM</t>
        </is>
      </c>
      <c r="Q81" s="30" t="inlineStr">
        <is>
          <t>PO120094</t>
        </is>
      </c>
      <c r="R81" s="53" t="n"/>
      <c r="S81" s="53" t="n"/>
      <c r="T81" s="53" t="n"/>
      <c r="U81" s="30">
        <f>IF(T81&lt;&gt;"","Received",IF(AND(S81&lt;&gt;"",S81&lt;TODAY()),"⚠ Overdue","On Track"))</f>
        <v/>
      </c>
      <c r="V81" s="30" t="inlineStr"/>
    </row>
    <row r="82" ht="18" customHeight="1">
      <c r="A82" s="28">
        <f>IF(B82&lt;&gt;"",ROW()-2,"")</f>
        <v/>
      </c>
      <c r="B82" s="23" t="inlineStr">
        <is>
          <t>801240</t>
        </is>
      </c>
      <c r="C82" s="24" t="inlineStr"/>
      <c r="D82" s="51" t="n"/>
      <c r="E82" s="51" t="n"/>
      <c r="F82" s="13">
        <f>IF(AND(D82&lt;&gt;"",E82&lt;&gt;""),E82-D82,"")</f>
        <v/>
      </c>
      <c r="G82" s="24" t="inlineStr">
        <is>
          <t>BSPCRN025X020A</t>
        </is>
      </c>
      <c r="H82" s="24" t="inlineStr">
        <is>
          <t>HEXAGON REDUCING NIPPLE R25XR20 CL3000 BSP 322</t>
        </is>
      </c>
      <c r="I82" s="28" t="n">
        <v>4</v>
      </c>
      <c r="J82" s="52" t="n">
        <v>31</v>
      </c>
      <c r="K82" s="52">
        <f>IF(AND(I82&lt;&gt;"",J82&lt;&gt;""),I82*J82,"")</f>
        <v/>
      </c>
      <c r="L82" s="24" t="inlineStr"/>
      <c r="M82" s="24" t="inlineStr"/>
      <c r="N82" s="24" t="inlineStr"/>
      <c r="O82" s="24" t="inlineStr">
        <is>
          <t>Ordered</t>
        </is>
      </c>
      <c r="P82" s="24" t="inlineStr">
        <is>
          <t>PROCHEM</t>
        </is>
      </c>
      <c r="Q82" s="24" t="inlineStr">
        <is>
          <t>PO120094</t>
        </is>
      </c>
      <c r="R82" s="51" t="n"/>
      <c r="S82" s="51" t="n"/>
      <c r="T82" s="51" t="n"/>
      <c r="U82" s="24">
        <f>IF(T82&lt;&gt;"","Received",IF(AND(S82&lt;&gt;"",S82&lt;TODAY()),"⚠ Overdue","On Track"))</f>
        <v/>
      </c>
      <c r="V82" s="24" t="inlineStr"/>
    </row>
    <row r="83" ht="18" customHeight="1">
      <c r="A83" s="34">
        <f>IF(B83&lt;&gt;"",ROW()-2,"")</f>
        <v/>
      </c>
      <c r="B83" s="29" t="inlineStr">
        <is>
          <t>801216</t>
        </is>
      </c>
      <c r="C83" s="30" t="inlineStr"/>
      <c r="D83" s="53" t="n"/>
      <c r="E83" s="53" t="n"/>
      <c r="F83" s="18">
        <f>IF(AND(D83&lt;&gt;"",E83&lt;&gt;""),E83-D83,"")</f>
        <v/>
      </c>
      <c r="G83" s="30" t="inlineStr">
        <is>
          <t>CLY33</t>
        </is>
      </c>
      <c r="H83" s="30" t="inlineStr">
        <is>
          <t>CHECKLINK 33MM YELLOW</t>
        </is>
      </c>
      <c r="I83" s="34" t="n">
        <v>60</v>
      </c>
      <c r="J83" s="54" t="n">
        <v>2.35</v>
      </c>
      <c r="K83" s="54">
        <f>IF(AND(I83&lt;&gt;"",J83&lt;&gt;""),I83*J83,"")</f>
        <v/>
      </c>
      <c r="L83" s="30" t="inlineStr"/>
      <c r="M83" s="30" t="inlineStr"/>
      <c r="N83" s="30" t="inlineStr"/>
      <c r="O83" s="30" t="inlineStr">
        <is>
          <t>Ordered</t>
        </is>
      </c>
      <c r="P83" s="30" t="inlineStr">
        <is>
          <t>CP SAFETY</t>
        </is>
      </c>
      <c r="Q83" s="30" t="inlineStr">
        <is>
          <t>PO119949</t>
        </is>
      </c>
      <c r="R83" s="53" t="n"/>
      <c r="S83" s="53" t="n"/>
      <c r="T83" s="53" t="n"/>
      <c r="U83" s="30">
        <f>IF(T83&lt;&gt;"","Received",IF(AND(S83&lt;&gt;"",S83&lt;TODAY()),"⚠ Overdue","On Track"))</f>
        <v/>
      </c>
      <c r="V83" s="30" t="inlineStr"/>
    </row>
    <row r="84" ht="18" customHeight="1">
      <c r="A84" s="28">
        <f>IF(B84&lt;&gt;"",ROW()-2,"")</f>
        <v/>
      </c>
      <c r="B84" s="23" t="inlineStr">
        <is>
          <t>801217</t>
        </is>
      </c>
      <c r="C84" s="24" t="inlineStr"/>
      <c r="D84" s="51" t="n"/>
      <c r="E84" s="51" t="n"/>
      <c r="F84" s="13">
        <f>IF(AND(D84&lt;&gt;"",E84&lt;&gt;""),E84-D84,"")</f>
        <v/>
      </c>
      <c r="G84" s="24" t="inlineStr">
        <is>
          <t>CLY33</t>
        </is>
      </c>
      <c r="H84" s="24" t="inlineStr">
        <is>
          <t>CHECKLINK 33MM YELLOW</t>
        </is>
      </c>
      <c r="I84" s="28" t="n">
        <v>60</v>
      </c>
      <c r="J84" s="52" t="n">
        <v>2.35</v>
      </c>
      <c r="K84" s="52">
        <f>IF(AND(I84&lt;&gt;"",J84&lt;&gt;""),I84*J84,"")</f>
        <v/>
      </c>
      <c r="L84" s="24" t="inlineStr"/>
      <c r="M84" s="24" t="inlineStr"/>
      <c r="N84" s="24" t="inlineStr"/>
      <c r="O84" s="24" t="inlineStr">
        <is>
          <t>Ordered</t>
        </is>
      </c>
      <c r="P84" s="24" t="inlineStr">
        <is>
          <t>CP SAFETY</t>
        </is>
      </c>
      <c r="Q84" s="24" t="inlineStr">
        <is>
          <t>PO119949</t>
        </is>
      </c>
      <c r="R84" s="51" t="n"/>
      <c r="S84" s="51" t="n"/>
      <c r="T84" s="51" t="n"/>
      <c r="U84" s="24">
        <f>IF(T84&lt;&gt;"","Received",IF(AND(S84&lt;&gt;"",S84&lt;TODAY()),"⚠ Overdue","On Track"))</f>
        <v/>
      </c>
      <c r="V84" s="24" t="inlineStr"/>
    </row>
    <row r="85" ht="18" customHeight="1">
      <c r="A85" s="34">
        <f>IF(B85&lt;&gt;"",ROW()-2,"")</f>
        <v/>
      </c>
      <c r="B85" s="29" t="inlineStr">
        <is>
          <t>801218</t>
        </is>
      </c>
      <c r="C85" s="30" t="inlineStr"/>
      <c r="D85" s="53" t="n"/>
      <c r="E85" s="53" t="n"/>
      <c r="F85" s="18">
        <f>IF(AND(D85&lt;&gt;"",E85&lt;&gt;""),E85-D85,"")</f>
        <v/>
      </c>
      <c r="G85" s="30" t="inlineStr">
        <is>
          <t>CLY33</t>
        </is>
      </c>
      <c r="H85" s="30" t="inlineStr">
        <is>
          <t>CHECKLINK 33MM YELLOW</t>
        </is>
      </c>
      <c r="I85" s="34" t="n">
        <v>60</v>
      </c>
      <c r="J85" s="54" t="n">
        <v>2.35</v>
      </c>
      <c r="K85" s="54">
        <f>IF(AND(I85&lt;&gt;"",J85&lt;&gt;""),I85*J85,"")</f>
        <v/>
      </c>
      <c r="L85" s="30" t="inlineStr"/>
      <c r="M85" s="30" t="inlineStr"/>
      <c r="N85" s="30" t="inlineStr"/>
      <c r="O85" s="30" t="inlineStr">
        <is>
          <t>Ordered</t>
        </is>
      </c>
      <c r="P85" s="30" t="inlineStr">
        <is>
          <t>CP SAFETY</t>
        </is>
      </c>
      <c r="Q85" s="30" t="inlineStr">
        <is>
          <t>PO119949</t>
        </is>
      </c>
      <c r="R85" s="53" t="n"/>
      <c r="S85" s="53" t="n"/>
      <c r="T85" s="53" t="n"/>
      <c r="U85" s="30">
        <f>IF(T85&lt;&gt;"","Received",IF(AND(S85&lt;&gt;"",S85&lt;TODAY()),"⚠ Overdue","On Track"))</f>
        <v/>
      </c>
      <c r="V85" s="30" t="inlineStr"/>
    </row>
    <row r="86" ht="18" customHeight="1">
      <c r="A86" s="28">
        <f>IF(B86&lt;&gt;"",ROW()-2,"")</f>
        <v/>
      </c>
      <c r="B86" s="23" t="inlineStr">
        <is>
          <t>801219</t>
        </is>
      </c>
      <c r="C86" s="24" t="inlineStr"/>
      <c r="D86" s="51" t="n"/>
      <c r="E86" s="51" t="n"/>
      <c r="F86" s="13">
        <f>IF(AND(D86&lt;&gt;"",E86&lt;&gt;""),E86-D86,"")</f>
        <v/>
      </c>
      <c r="G86" s="24" t="inlineStr">
        <is>
          <t>CLY33</t>
        </is>
      </c>
      <c r="H86" s="24" t="inlineStr">
        <is>
          <t>CHECKLINK 33MM YELLOW</t>
        </is>
      </c>
      <c r="I86" s="28" t="n">
        <v>60</v>
      </c>
      <c r="J86" s="52" t="n">
        <v>2.35</v>
      </c>
      <c r="K86" s="52">
        <f>IF(AND(I86&lt;&gt;"",J86&lt;&gt;""),I86*J86,"")</f>
        <v/>
      </c>
      <c r="L86" s="24" t="inlineStr"/>
      <c r="M86" s="24" t="inlineStr"/>
      <c r="N86" s="24" t="inlineStr"/>
      <c r="O86" s="24" t="inlineStr">
        <is>
          <t>Ordered</t>
        </is>
      </c>
      <c r="P86" s="24" t="inlineStr">
        <is>
          <t>CP SAFETY</t>
        </is>
      </c>
      <c r="Q86" s="24" t="inlineStr">
        <is>
          <t>PO119949</t>
        </is>
      </c>
      <c r="R86" s="51" t="n"/>
      <c r="S86" s="51" t="n"/>
      <c r="T86" s="51" t="n"/>
      <c r="U86" s="24">
        <f>IF(T86&lt;&gt;"","Received",IF(AND(S86&lt;&gt;"",S86&lt;TODAY()),"⚠ Overdue","On Track"))</f>
        <v/>
      </c>
      <c r="V86" s="24" t="inlineStr"/>
    </row>
    <row r="87" ht="18" customHeight="1">
      <c r="A87" s="34">
        <f>IF(B87&lt;&gt;"",ROW()-2,"")</f>
        <v/>
      </c>
      <c r="B87" s="29" t="inlineStr">
        <is>
          <t>801237</t>
        </is>
      </c>
      <c r="C87" s="30" t="inlineStr"/>
      <c r="D87" s="53" t="n"/>
      <c r="E87" s="53" t="n"/>
      <c r="F87" s="18">
        <f>IF(AND(D87&lt;&gt;"",E87&lt;&gt;""),E87-D87,"")</f>
        <v/>
      </c>
      <c r="G87" s="30" t="inlineStr">
        <is>
          <t>CLY33</t>
        </is>
      </c>
      <c r="H87" s="30" t="inlineStr">
        <is>
          <t>CHECKLINK 33MM YELLOW</t>
        </is>
      </c>
      <c r="I87" s="34" t="n">
        <v>60</v>
      </c>
      <c r="J87" s="54" t="n">
        <v>2.35</v>
      </c>
      <c r="K87" s="54">
        <f>IF(AND(I87&lt;&gt;"",J87&lt;&gt;""),I87*J87,"")</f>
        <v/>
      </c>
      <c r="L87" s="30" t="inlineStr"/>
      <c r="M87" s="30" t="inlineStr"/>
      <c r="N87" s="30" t="inlineStr"/>
      <c r="O87" s="30" t="inlineStr">
        <is>
          <t>Ordered</t>
        </is>
      </c>
      <c r="P87" s="30" t="inlineStr">
        <is>
          <t>CP SAFETY</t>
        </is>
      </c>
      <c r="Q87" s="30" t="inlineStr">
        <is>
          <t>PO119949</t>
        </is>
      </c>
      <c r="R87" s="53" t="n"/>
      <c r="S87" s="53" t="n"/>
      <c r="T87" s="53" t="n"/>
      <c r="U87" s="30">
        <f>IF(T87&lt;&gt;"","Received",IF(AND(S87&lt;&gt;"",S87&lt;TODAY()),"⚠ Overdue","On Track"))</f>
        <v/>
      </c>
      <c r="V87" s="30" t="inlineStr"/>
    </row>
    <row r="88" ht="18" customHeight="1">
      <c r="A88" s="28">
        <f>IF(B88&lt;&gt;"",ROW()-2,"")</f>
        <v/>
      </c>
      <c r="B88" s="23" t="inlineStr">
        <is>
          <t>801238</t>
        </is>
      </c>
      <c r="C88" s="24" t="inlineStr"/>
      <c r="D88" s="51" t="n"/>
      <c r="E88" s="51" t="n"/>
      <c r="F88" s="13">
        <f>IF(AND(D88&lt;&gt;"",E88&lt;&gt;""),E88-D88,"")</f>
        <v/>
      </c>
      <c r="G88" s="24" t="inlineStr">
        <is>
          <t>CLY33</t>
        </is>
      </c>
      <c r="H88" s="24" t="inlineStr">
        <is>
          <t>CHECKLINK 33MM YELLOW</t>
        </is>
      </c>
      <c r="I88" s="28" t="n">
        <v>60</v>
      </c>
      <c r="J88" s="52" t="n">
        <v>2.35</v>
      </c>
      <c r="K88" s="52">
        <f>IF(AND(I88&lt;&gt;"",J88&lt;&gt;""),I88*J88,"")</f>
        <v/>
      </c>
      <c r="L88" s="24" t="inlineStr"/>
      <c r="M88" s="24" t="inlineStr"/>
      <c r="N88" s="24" t="inlineStr"/>
      <c r="O88" s="24" t="inlineStr">
        <is>
          <t>Ordered</t>
        </is>
      </c>
      <c r="P88" s="24" t="inlineStr">
        <is>
          <t>CP SAFETY</t>
        </is>
      </c>
      <c r="Q88" s="24" t="inlineStr">
        <is>
          <t>PO119949</t>
        </is>
      </c>
      <c r="R88" s="51" t="n"/>
      <c r="S88" s="51" t="n"/>
      <c r="T88" s="51" t="n"/>
      <c r="U88" s="24">
        <f>IF(T88&lt;&gt;"","Received",IF(AND(S88&lt;&gt;"",S88&lt;TODAY()),"⚠ Overdue","On Track"))</f>
        <v/>
      </c>
      <c r="V88" s="24" t="inlineStr"/>
    </row>
    <row r="89" ht="18" customHeight="1">
      <c r="A89" s="34">
        <f>IF(B89&lt;&gt;"",ROW()-2,"")</f>
        <v/>
      </c>
      <c r="B89" s="29" t="inlineStr">
        <is>
          <t>801239</t>
        </is>
      </c>
      <c r="C89" s="30" t="inlineStr"/>
      <c r="D89" s="53" t="n"/>
      <c r="E89" s="53" t="n"/>
      <c r="F89" s="18">
        <f>IF(AND(D89&lt;&gt;"",E89&lt;&gt;""),E89-D89,"")</f>
        <v/>
      </c>
      <c r="G89" s="30" t="inlineStr">
        <is>
          <t>CLY33</t>
        </is>
      </c>
      <c r="H89" s="30" t="inlineStr">
        <is>
          <t>CHECKLINK 33MM YELLOW</t>
        </is>
      </c>
      <c r="I89" s="34" t="n">
        <v>60</v>
      </c>
      <c r="J89" s="54" t="n">
        <v>2.35</v>
      </c>
      <c r="K89" s="54">
        <f>IF(AND(I89&lt;&gt;"",J89&lt;&gt;""),I89*J89,"")</f>
        <v/>
      </c>
      <c r="L89" s="30" t="inlineStr"/>
      <c r="M89" s="30" t="inlineStr"/>
      <c r="N89" s="30" t="inlineStr"/>
      <c r="O89" s="30" t="inlineStr">
        <is>
          <t>Ordered</t>
        </is>
      </c>
      <c r="P89" s="30" t="inlineStr">
        <is>
          <t>CP SAFETY</t>
        </is>
      </c>
      <c r="Q89" s="30" t="inlineStr">
        <is>
          <t>PO119949</t>
        </is>
      </c>
      <c r="R89" s="53" t="n"/>
      <c r="S89" s="53" t="n"/>
      <c r="T89" s="53" t="n"/>
      <c r="U89" s="30">
        <f>IF(T89&lt;&gt;"","Received",IF(AND(S89&lt;&gt;"",S89&lt;TODAY()),"⚠ Overdue","On Track"))</f>
        <v/>
      </c>
      <c r="V89" s="30" t="inlineStr"/>
    </row>
    <row r="90" ht="18" customHeight="1">
      <c r="A90" s="28">
        <f>IF(B90&lt;&gt;"",ROW()-2,"")</f>
        <v/>
      </c>
      <c r="B90" s="23" t="inlineStr">
        <is>
          <t>801240</t>
        </is>
      </c>
      <c r="C90" s="24" t="inlineStr"/>
      <c r="D90" s="51" t="n"/>
      <c r="E90" s="51" t="n"/>
      <c r="F90" s="13">
        <f>IF(AND(D90&lt;&gt;"",E90&lt;&gt;""),E90-D90,"")</f>
        <v/>
      </c>
      <c r="G90" s="24" t="inlineStr">
        <is>
          <t>CLY33</t>
        </is>
      </c>
      <c r="H90" s="24" t="inlineStr">
        <is>
          <t>CHECKLINK 33MM YELLOW</t>
        </is>
      </c>
      <c r="I90" s="28" t="n">
        <v>60</v>
      </c>
      <c r="J90" s="52" t="n">
        <v>2.35</v>
      </c>
      <c r="K90" s="52">
        <f>IF(AND(I90&lt;&gt;"",J90&lt;&gt;""),I90*J90,"")</f>
        <v/>
      </c>
      <c r="L90" s="24" t="inlineStr"/>
      <c r="M90" s="24" t="inlineStr"/>
      <c r="N90" s="24" t="inlineStr"/>
      <c r="O90" s="24" t="inlineStr">
        <is>
          <t>Ordered</t>
        </is>
      </c>
      <c r="P90" s="24" t="inlineStr">
        <is>
          <t>CP SAFETY</t>
        </is>
      </c>
      <c r="Q90" s="24" t="inlineStr">
        <is>
          <t>PO119949</t>
        </is>
      </c>
      <c r="R90" s="51" t="n"/>
      <c r="S90" s="51" t="n"/>
      <c r="T90" s="51" t="n"/>
      <c r="U90" s="24">
        <f>IF(T90&lt;&gt;"","Received",IF(AND(S90&lt;&gt;"",S90&lt;TODAY()),"⚠ Overdue","On Track"))</f>
        <v/>
      </c>
      <c r="V90" s="24" t="inlineStr"/>
    </row>
    <row r="91" ht="18" customHeight="1">
      <c r="A91" s="34">
        <f>IF(B91&lt;&gt;"",ROW()-2,"")</f>
        <v/>
      </c>
      <c r="B91" s="29" t="inlineStr">
        <is>
          <t>801216</t>
        </is>
      </c>
      <c r="C91" s="30" t="inlineStr"/>
      <c r="D91" s="53" t="n"/>
      <c r="E91" s="53" t="n"/>
      <c r="F91" s="18">
        <f>IF(AND(D91&lt;&gt;"",E91&lt;&gt;""),E91-D91,"")</f>
        <v/>
      </c>
      <c r="G91" s="30" t="inlineStr">
        <is>
          <t>CP34Y</t>
        </is>
      </c>
      <c r="H91" s="30" t="inlineStr">
        <is>
          <t>WHEEL LOCK INDICATOR 34MM</t>
        </is>
      </c>
      <c r="I91" s="34" t="n">
        <v>40</v>
      </c>
      <c r="J91" s="54" t="n">
        <v>0.95</v>
      </c>
      <c r="K91" s="54">
        <f>IF(AND(I91&lt;&gt;"",J91&lt;&gt;""),I91*J91,"")</f>
        <v/>
      </c>
      <c r="L91" s="30" t="inlineStr"/>
      <c r="M91" s="30" t="inlineStr"/>
      <c r="N91" s="30" t="inlineStr"/>
      <c r="O91" s="30" t="inlineStr">
        <is>
          <t>Ordered</t>
        </is>
      </c>
      <c r="P91" s="30" t="inlineStr">
        <is>
          <t>CP SAFETY</t>
        </is>
      </c>
      <c r="Q91" s="30" t="inlineStr">
        <is>
          <t>PO119949</t>
        </is>
      </c>
      <c r="R91" s="53" t="n"/>
      <c r="S91" s="53" t="n"/>
      <c r="T91" s="53" t="n"/>
      <c r="U91" s="30">
        <f>IF(T91&lt;&gt;"","Received",IF(AND(S91&lt;&gt;"",S91&lt;TODAY()),"⚠ Overdue","On Track"))</f>
        <v/>
      </c>
      <c r="V91" s="30" t="inlineStr"/>
    </row>
    <row r="92" ht="18" customHeight="1">
      <c r="A92" s="28">
        <f>IF(B92&lt;&gt;"",ROW()-2,"")</f>
        <v/>
      </c>
      <c r="B92" s="23" t="inlineStr">
        <is>
          <t>801217</t>
        </is>
      </c>
      <c r="C92" s="24" t="inlineStr"/>
      <c r="D92" s="51" t="n"/>
      <c r="E92" s="51" t="n"/>
      <c r="F92" s="13">
        <f>IF(AND(D92&lt;&gt;"",E92&lt;&gt;""),E92-D92,"")</f>
        <v/>
      </c>
      <c r="G92" s="24" t="inlineStr">
        <is>
          <t>CP34Y</t>
        </is>
      </c>
      <c r="H92" s="24" t="inlineStr">
        <is>
          <t>WHEEL LOCK INDICATOR 34MM</t>
        </is>
      </c>
      <c r="I92" s="28" t="n">
        <v>40</v>
      </c>
      <c r="J92" s="52" t="n">
        <v>0.95</v>
      </c>
      <c r="K92" s="52">
        <f>IF(AND(I92&lt;&gt;"",J92&lt;&gt;""),I92*J92,"")</f>
        <v/>
      </c>
      <c r="L92" s="24" t="inlineStr"/>
      <c r="M92" s="24" t="inlineStr"/>
      <c r="N92" s="24" t="inlineStr"/>
      <c r="O92" s="24" t="inlineStr">
        <is>
          <t>Ordered</t>
        </is>
      </c>
      <c r="P92" s="24" t="inlineStr">
        <is>
          <t>CP SAFETY</t>
        </is>
      </c>
      <c r="Q92" s="24" t="inlineStr">
        <is>
          <t>PO119949</t>
        </is>
      </c>
      <c r="R92" s="51" t="n"/>
      <c r="S92" s="51" t="n"/>
      <c r="T92" s="51" t="n"/>
      <c r="U92" s="24">
        <f>IF(T92&lt;&gt;"","Received",IF(AND(S92&lt;&gt;"",S92&lt;TODAY()),"⚠ Overdue","On Track"))</f>
        <v/>
      </c>
      <c r="V92" s="24" t="inlineStr"/>
    </row>
    <row r="93" ht="18" customHeight="1">
      <c r="A93" s="34">
        <f>IF(B93&lt;&gt;"",ROW()-2,"")</f>
        <v/>
      </c>
      <c r="B93" s="29" t="inlineStr">
        <is>
          <t>801218</t>
        </is>
      </c>
      <c r="C93" s="30" t="inlineStr"/>
      <c r="D93" s="53" t="n"/>
      <c r="E93" s="53" t="n"/>
      <c r="F93" s="18">
        <f>IF(AND(D93&lt;&gt;"",E93&lt;&gt;""),E93-D93,"")</f>
        <v/>
      </c>
      <c r="G93" s="30" t="inlineStr">
        <is>
          <t>CP34Y</t>
        </is>
      </c>
      <c r="H93" s="30" t="inlineStr">
        <is>
          <t>WHEEL LOCK INDICATOR 34MM</t>
        </is>
      </c>
      <c r="I93" s="34" t="n">
        <v>40</v>
      </c>
      <c r="J93" s="54" t="n">
        <v>0.95</v>
      </c>
      <c r="K93" s="54">
        <f>IF(AND(I93&lt;&gt;"",J93&lt;&gt;""),I93*J93,"")</f>
        <v/>
      </c>
      <c r="L93" s="30" t="inlineStr"/>
      <c r="M93" s="30" t="inlineStr"/>
      <c r="N93" s="30" t="inlineStr"/>
      <c r="O93" s="30" t="inlineStr">
        <is>
          <t>Ordered</t>
        </is>
      </c>
      <c r="P93" s="30" t="inlineStr">
        <is>
          <t>CP SAFETY</t>
        </is>
      </c>
      <c r="Q93" s="30" t="inlineStr">
        <is>
          <t>PO119949</t>
        </is>
      </c>
      <c r="R93" s="53" t="n"/>
      <c r="S93" s="53" t="n"/>
      <c r="T93" s="53" t="n"/>
      <c r="U93" s="30">
        <f>IF(T93&lt;&gt;"","Received",IF(AND(S93&lt;&gt;"",S93&lt;TODAY()),"⚠ Overdue","On Track"))</f>
        <v/>
      </c>
      <c r="V93" s="30" t="inlineStr"/>
    </row>
    <row r="94" ht="18" customHeight="1">
      <c r="A94" s="28">
        <f>IF(B94&lt;&gt;"",ROW()-2,"")</f>
        <v/>
      </c>
      <c r="B94" s="23" t="inlineStr">
        <is>
          <t>801219</t>
        </is>
      </c>
      <c r="C94" s="24" t="inlineStr"/>
      <c r="D94" s="51" t="n"/>
      <c r="E94" s="51" t="n"/>
      <c r="F94" s="13">
        <f>IF(AND(D94&lt;&gt;"",E94&lt;&gt;""),E94-D94,"")</f>
        <v/>
      </c>
      <c r="G94" s="24" t="inlineStr">
        <is>
          <t>CP34Y</t>
        </is>
      </c>
      <c r="H94" s="24" t="inlineStr">
        <is>
          <t>WHEEL LOCK INDICATOR 34MM</t>
        </is>
      </c>
      <c r="I94" s="28" t="n">
        <v>40</v>
      </c>
      <c r="J94" s="52" t="n">
        <v>0.95</v>
      </c>
      <c r="K94" s="52">
        <f>IF(AND(I94&lt;&gt;"",J94&lt;&gt;""),I94*J94,"")</f>
        <v/>
      </c>
      <c r="L94" s="24" t="inlineStr"/>
      <c r="M94" s="24" t="inlineStr"/>
      <c r="N94" s="24" t="inlineStr"/>
      <c r="O94" s="24" t="inlineStr">
        <is>
          <t>Ordered</t>
        </is>
      </c>
      <c r="P94" s="24" t="inlineStr">
        <is>
          <t>CP SAFETY</t>
        </is>
      </c>
      <c r="Q94" s="24" t="inlineStr">
        <is>
          <t>PO119949</t>
        </is>
      </c>
      <c r="R94" s="51" t="n"/>
      <c r="S94" s="51" t="n"/>
      <c r="T94" s="51" t="n"/>
      <c r="U94" s="24">
        <f>IF(T94&lt;&gt;"","Received",IF(AND(S94&lt;&gt;"",S94&lt;TODAY()),"⚠ Overdue","On Track"))</f>
        <v/>
      </c>
      <c r="V94" s="24" t="inlineStr"/>
    </row>
    <row r="95" ht="18" customHeight="1">
      <c r="A95" s="34">
        <f>IF(B95&lt;&gt;"",ROW()-2,"")</f>
        <v/>
      </c>
      <c r="B95" s="29" t="inlineStr">
        <is>
          <t>801237</t>
        </is>
      </c>
      <c r="C95" s="30" t="inlineStr"/>
      <c r="D95" s="53" t="n"/>
      <c r="E95" s="53" t="n"/>
      <c r="F95" s="18">
        <f>IF(AND(D95&lt;&gt;"",E95&lt;&gt;""),E95-D95,"")</f>
        <v/>
      </c>
      <c r="G95" s="30" t="inlineStr">
        <is>
          <t>CP34Y</t>
        </is>
      </c>
      <c r="H95" s="30" t="inlineStr">
        <is>
          <t>WHEEL LOCK INDICATOR 34MM</t>
        </is>
      </c>
      <c r="I95" s="34" t="n">
        <v>40</v>
      </c>
      <c r="J95" s="54" t="n">
        <v>0.95</v>
      </c>
      <c r="K95" s="54">
        <f>IF(AND(I95&lt;&gt;"",J95&lt;&gt;""),I95*J95,"")</f>
        <v/>
      </c>
      <c r="L95" s="30" t="inlineStr"/>
      <c r="M95" s="30" t="inlineStr"/>
      <c r="N95" s="30" t="inlineStr"/>
      <c r="O95" s="30" t="inlineStr">
        <is>
          <t>Ordered</t>
        </is>
      </c>
      <c r="P95" s="30" t="inlineStr">
        <is>
          <t>CP SAFETY</t>
        </is>
      </c>
      <c r="Q95" s="30" t="inlineStr">
        <is>
          <t>PO119949</t>
        </is>
      </c>
      <c r="R95" s="53" t="n"/>
      <c r="S95" s="53" t="n"/>
      <c r="T95" s="53" t="n"/>
      <c r="U95" s="30">
        <f>IF(T95&lt;&gt;"","Received",IF(AND(S95&lt;&gt;"",S95&lt;TODAY()),"⚠ Overdue","On Track"))</f>
        <v/>
      </c>
      <c r="V95" s="30" t="inlineStr"/>
    </row>
    <row r="96" ht="18" customHeight="1">
      <c r="A96" s="28">
        <f>IF(B96&lt;&gt;"",ROW()-2,"")</f>
        <v/>
      </c>
      <c r="B96" s="23" t="inlineStr">
        <is>
          <t>801238</t>
        </is>
      </c>
      <c r="C96" s="24" t="inlineStr"/>
      <c r="D96" s="51" t="n"/>
      <c r="E96" s="51" t="n"/>
      <c r="F96" s="13">
        <f>IF(AND(D96&lt;&gt;"",E96&lt;&gt;""),E96-D96,"")</f>
        <v/>
      </c>
      <c r="G96" s="24" t="inlineStr">
        <is>
          <t>CP34Y</t>
        </is>
      </c>
      <c r="H96" s="24" t="inlineStr">
        <is>
          <t>WHEEL LOCK INDICATOR 34MM</t>
        </is>
      </c>
      <c r="I96" s="28" t="n">
        <v>40</v>
      </c>
      <c r="J96" s="52" t="n">
        <v>0.95</v>
      </c>
      <c r="K96" s="52">
        <f>IF(AND(I96&lt;&gt;"",J96&lt;&gt;""),I96*J96,"")</f>
        <v/>
      </c>
      <c r="L96" s="24" t="inlineStr"/>
      <c r="M96" s="24" t="inlineStr"/>
      <c r="N96" s="24" t="inlineStr"/>
      <c r="O96" s="24" t="inlineStr">
        <is>
          <t>Ordered</t>
        </is>
      </c>
      <c r="P96" s="24" t="inlineStr">
        <is>
          <t>CP SAFETY</t>
        </is>
      </c>
      <c r="Q96" s="24" t="inlineStr">
        <is>
          <t>PO119949</t>
        </is>
      </c>
      <c r="R96" s="51" t="n"/>
      <c r="S96" s="51" t="n"/>
      <c r="T96" s="51" t="n"/>
      <c r="U96" s="24">
        <f>IF(T96&lt;&gt;"","Received",IF(AND(S96&lt;&gt;"",S96&lt;TODAY()),"⚠ Overdue","On Track"))</f>
        <v/>
      </c>
      <c r="V96" s="24" t="inlineStr"/>
    </row>
    <row r="97" ht="18" customHeight="1">
      <c r="A97" s="34">
        <f>IF(B97&lt;&gt;"",ROW()-2,"")</f>
        <v/>
      </c>
      <c r="B97" s="29" t="inlineStr">
        <is>
          <t>801239</t>
        </is>
      </c>
      <c r="C97" s="30" t="inlineStr"/>
      <c r="D97" s="53" t="n"/>
      <c r="E97" s="53" t="n"/>
      <c r="F97" s="18">
        <f>IF(AND(D97&lt;&gt;"",E97&lt;&gt;""),E97-D97,"")</f>
        <v/>
      </c>
      <c r="G97" s="30" t="inlineStr">
        <is>
          <t>CP34Y</t>
        </is>
      </c>
      <c r="H97" s="30" t="inlineStr">
        <is>
          <t>WHEEL LOCK INDICATOR 34MM</t>
        </is>
      </c>
      <c r="I97" s="34" t="n">
        <v>40</v>
      </c>
      <c r="J97" s="54" t="n">
        <v>0.95</v>
      </c>
      <c r="K97" s="54">
        <f>IF(AND(I97&lt;&gt;"",J97&lt;&gt;""),I97*J97,"")</f>
        <v/>
      </c>
      <c r="L97" s="30" t="inlineStr"/>
      <c r="M97" s="30" t="inlineStr"/>
      <c r="N97" s="30" t="inlineStr"/>
      <c r="O97" s="30" t="inlineStr">
        <is>
          <t>Ordered</t>
        </is>
      </c>
      <c r="P97" s="30" t="inlineStr">
        <is>
          <t>CP SAFETY</t>
        </is>
      </c>
      <c r="Q97" s="30" t="inlineStr">
        <is>
          <t>PO119949</t>
        </is>
      </c>
      <c r="R97" s="53" t="n"/>
      <c r="S97" s="53" t="n"/>
      <c r="T97" s="53" t="n"/>
      <c r="U97" s="30">
        <f>IF(T97&lt;&gt;"","Received",IF(AND(S97&lt;&gt;"",S97&lt;TODAY()),"⚠ Overdue","On Track"))</f>
        <v/>
      </c>
      <c r="V97" s="30" t="inlineStr"/>
    </row>
    <row r="98" ht="18" customHeight="1">
      <c r="A98" s="28">
        <f>IF(B98&lt;&gt;"",ROW()-2,"")</f>
        <v/>
      </c>
      <c r="B98" s="23" t="inlineStr">
        <is>
          <t>801240</t>
        </is>
      </c>
      <c r="C98" s="24" t="inlineStr"/>
      <c r="D98" s="51" t="n"/>
      <c r="E98" s="51" t="n"/>
      <c r="F98" s="13">
        <f>IF(AND(D98&lt;&gt;"",E98&lt;&gt;""),E98-D98,"")</f>
        <v/>
      </c>
      <c r="G98" s="24" t="inlineStr">
        <is>
          <t>CP34Y</t>
        </is>
      </c>
      <c r="H98" s="24" t="inlineStr">
        <is>
          <t>WHEEL LOCK INDICATOR 34MM</t>
        </is>
      </c>
      <c r="I98" s="28" t="n">
        <v>40</v>
      </c>
      <c r="J98" s="52" t="n">
        <v>0.95</v>
      </c>
      <c r="K98" s="52">
        <f>IF(AND(I98&lt;&gt;"",J98&lt;&gt;""),I98*J98,"")</f>
        <v/>
      </c>
      <c r="L98" s="24" t="inlineStr"/>
      <c r="M98" s="24" t="inlineStr"/>
      <c r="N98" s="24" t="inlineStr"/>
      <c r="O98" s="24" t="inlineStr">
        <is>
          <t>Ordered</t>
        </is>
      </c>
      <c r="P98" s="24" t="inlineStr">
        <is>
          <t>CP SAFETY</t>
        </is>
      </c>
      <c r="Q98" s="24" t="inlineStr">
        <is>
          <t>PO119949</t>
        </is>
      </c>
      <c r="R98" s="51" t="n"/>
      <c r="S98" s="51" t="n"/>
      <c r="T98" s="51" t="n"/>
      <c r="U98" s="24">
        <f>IF(T98&lt;&gt;"","Received",IF(AND(S98&lt;&gt;"",S98&lt;TODAY()),"⚠ Overdue","On Track"))</f>
        <v/>
      </c>
      <c r="V98" s="24" t="inlineStr"/>
    </row>
    <row r="99" ht="18" customHeight="1">
      <c r="A99" s="34">
        <f>IF(B99&lt;&gt;"",ROW()-2,"")</f>
        <v/>
      </c>
      <c r="B99" s="29" t="inlineStr">
        <is>
          <t>801252</t>
        </is>
      </c>
      <c r="C99" s="30" t="inlineStr"/>
      <c r="D99" s="53" t="n"/>
      <c r="E99" s="53" t="n"/>
      <c r="F99" s="18">
        <f>IF(AND(D99&lt;&gt;"",E99&lt;&gt;""),E99-D99,"")</f>
        <v/>
      </c>
      <c r="G99" s="30" t="inlineStr">
        <is>
          <t>G7580 8</t>
        </is>
      </c>
      <c r="H99" s="30" t="inlineStr">
        <is>
          <t>Technopolymer Fitting Tube To Tube Connector 8mm Tube</t>
        </is>
      </c>
      <c r="I99" s="34" t="n">
        <v>2</v>
      </c>
      <c r="J99" s="54" t="n">
        <v>2.71</v>
      </c>
      <c r="K99" s="54">
        <f>IF(AND(I99&lt;&gt;"",J99&lt;&gt;""),I99*J99,"")</f>
        <v/>
      </c>
      <c r="L99" s="30" t="inlineStr"/>
      <c r="M99" s="30" t="inlineStr">
        <is>
          <t>Sri</t>
        </is>
      </c>
      <c r="N99" s="30" t="inlineStr"/>
      <c r="O99" s="30" t="inlineStr">
        <is>
          <t>Ordered</t>
        </is>
      </c>
      <c r="P99" s="30" t="inlineStr">
        <is>
          <t>Net Automation</t>
        </is>
      </c>
      <c r="Q99" s="30" t="inlineStr">
        <is>
          <t>PO120150</t>
        </is>
      </c>
      <c r="R99" s="53" t="n"/>
      <c r="S99" s="53" t="n"/>
      <c r="T99" s="53" t="n"/>
      <c r="U99" s="30">
        <f>IF(T99&lt;&gt;"","Received",IF(AND(S99&lt;&gt;"",S99&lt;TODAY()),"⚠ Overdue","On Track"))</f>
        <v/>
      </c>
      <c r="V99" s="30" t="inlineStr"/>
    </row>
    <row r="100" ht="18" customHeight="1">
      <c r="A100" s="28">
        <f>IF(B100&lt;&gt;"",ROW()-2,"")</f>
        <v/>
      </c>
      <c r="B100" s="23" t="inlineStr">
        <is>
          <t>801253</t>
        </is>
      </c>
      <c r="C100" s="24" t="inlineStr"/>
      <c r="D100" s="51" t="n"/>
      <c r="E100" s="51" t="n"/>
      <c r="F100" s="13">
        <f>IF(AND(D100&lt;&gt;"",E100&lt;&gt;""),E100-D100,"")</f>
        <v/>
      </c>
      <c r="G100" s="24" t="inlineStr">
        <is>
          <t>G7580 8</t>
        </is>
      </c>
      <c r="H100" s="24" t="inlineStr">
        <is>
          <t>Technopolymer Fitting Tube To Tube Connector 8mm Tube</t>
        </is>
      </c>
      <c r="I100" s="28" t="n">
        <v>2</v>
      </c>
      <c r="J100" s="52" t="n">
        <v>2.71</v>
      </c>
      <c r="K100" s="52">
        <f>IF(AND(I100&lt;&gt;"",J100&lt;&gt;""),I100*J100,"")</f>
        <v/>
      </c>
      <c r="L100" s="24" t="inlineStr"/>
      <c r="M100" s="24" t="inlineStr">
        <is>
          <t>Sri</t>
        </is>
      </c>
      <c r="N100" s="24" t="inlineStr"/>
      <c r="O100" s="24" t="inlineStr">
        <is>
          <t>Ordered</t>
        </is>
      </c>
      <c r="P100" s="24" t="inlineStr">
        <is>
          <t>Net Automation</t>
        </is>
      </c>
      <c r="Q100" s="24" t="inlineStr">
        <is>
          <t>PO120150</t>
        </is>
      </c>
      <c r="R100" s="51" t="n"/>
      <c r="S100" s="51" t="n"/>
      <c r="T100" s="51" t="n"/>
      <c r="U100" s="24">
        <f>IF(T100&lt;&gt;"","Received",IF(AND(S100&lt;&gt;"",S100&lt;TODAY()),"⚠ Overdue","On Track"))</f>
        <v/>
      </c>
      <c r="V100" s="24" t="inlineStr"/>
    </row>
    <row r="101" ht="18" customHeight="1">
      <c r="A101" s="34">
        <f>IF(B101&lt;&gt;"",ROW()-2,"")</f>
        <v/>
      </c>
      <c r="B101" s="29" t="inlineStr">
        <is>
          <t>801254</t>
        </is>
      </c>
      <c r="C101" s="30" t="inlineStr"/>
      <c r="D101" s="53" t="n"/>
      <c r="E101" s="53" t="n"/>
      <c r="F101" s="18">
        <f>IF(AND(D101&lt;&gt;"",E101&lt;&gt;""),E101-D101,"")</f>
        <v/>
      </c>
      <c r="G101" s="30" t="inlineStr">
        <is>
          <t>G7580 8</t>
        </is>
      </c>
      <c r="H101" s="30" t="inlineStr">
        <is>
          <t>Technopolymer Fitting Tube To Tube Connector 8mm Tube</t>
        </is>
      </c>
      <c r="I101" s="34" t="n">
        <v>2</v>
      </c>
      <c r="J101" s="54" t="n">
        <v>2.71</v>
      </c>
      <c r="K101" s="54">
        <f>IF(AND(I101&lt;&gt;"",J101&lt;&gt;""),I101*J101,"")</f>
        <v/>
      </c>
      <c r="L101" s="30" t="inlineStr"/>
      <c r="M101" s="30" t="inlineStr">
        <is>
          <t>Sri</t>
        </is>
      </c>
      <c r="N101" s="30" t="inlineStr"/>
      <c r="O101" s="30" t="inlineStr">
        <is>
          <t>Ordered</t>
        </is>
      </c>
      <c r="P101" s="30" t="inlineStr">
        <is>
          <t>Net Automation</t>
        </is>
      </c>
      <c r="Q101" s="30" t="inlineStr">
        <is>
          <t>PO120150</t>
        </is>
      </c>
      <c r="R101" s="53" t="n"/>
      <c r="S101" s="53" t="n"/>
      <c r="T101" s="53" t="n"/>
      <c r="U101" s="30">
        <f>IF(T101&lt;&gt;"","Received",IF(AND(S101&lt;&gt;"",S101&lt;TODAY()),"⚠ Overdue","On Track"))</f>
        <v/>
      </c>
      <c r="V101" s="30" t="inlineStr"/>
    </row>
    <row r="102" ht="18" customHeight="1">
      <c r="A102" s="28">
        <f>IF(B102&lt;&gt;"",ROW()-2,"")</f>
        <v/>
      </c>
      <c r="B102" s="23" t="inlineStr">
        <is>
          <t>801255</t>
        </is>
      </c>
      <c r="C102" s="24" t="inlineStr"/>
      <c r="D102" s="51" t="n"/>
      <c r="E102" s="51" t="n"/>
      <c r="F102" s="13">
        <f>IF(AND(D102&lt;&gt;"",E102&lt;&gt;""),E102-D102,"")</f>
        <v/>
      </c>
      <c r="G102" s="24" t="inlineStr">
        <is>
          <t>G7580 8</t>
        </is>
      </c>
      <c r="H102" s="24" t="inlineStr">
        <is>
          <t>Technopolymer Fitting Tube To Tube Connector 8mm Tube</t>
        </is>
      </c>
      <c r="I102" s="28" t="n">
        <v>2</v>
      </c>
      <c r="J102" s="52" t="n">
        <v>2.71</v>
      </c>
      <c r="K102" s="52">
        <f>IF(AND(I102&lt;&gt;"",J102&lt;&gt;""),I102*J102,"")</f>
        <v/>
      </c>
      <c r="L102" s="24" t="inlineStr"/>
      <c r="M102" s="24" t="inlineStr">
        <is>
          <t>Sri</t>
        </is>
      </c>
      <c r="N102" s="24" t="inlineStr"/>
      <c r="O102" s="24" t="inlineStr">
        <is>
          <t>Ordered</t>
        </is>
      </c>
      <c r="P102" s="24" t="inlineStr">
        <is>
          <t>Net Automation</t>
        </is>
      </c>
      <c r="Q102" s="24" t="inlineStr">
        <is>
          <t>PO120150</t>
        </is>
      </c>
      <c r="R102" s="51" t="n"/>
      <c r="S102" s="51" t="n"/>
      <c r="T102" s="51" t="n"/>
      <c r="U102" s="24">
        <f>IF(T102&lt;&gt;"","Received",IF(AND(S102&lt;&gt;"",S102&lt;TODAY()),"⚠ Overdue","On Track"))</f>
        <v/>
      </c>
      <c r="V102" s="24" t="inlineStr"/>
    </row>
    <row r="103" ht="18" customHeight="1">
      <c r="A103" s="34">
        <f>IF(B103&lt;&gt;"",ROW()-2,"")</f>
        <v/>
      </c>
      <c r="B103" s="29" t="inlineStr">
        <is>
          <t>801257</t>
        </is>
      </c>
      <c r="C103" s="30" t="inlineStr"/>
      <c r="D103" s="53" t="n"/>
      <c r="E103" s="53" t="n"/>
      <c r="F103" s="18">
        <f>IF(AND(D103&lt;&gt;"",E103&lt;&gt;""),E103-D103,"")</f>
        <v/>
      </c>
      <c r="G103" s="30" t="inlineStr">
        <is>
          <t>G7580 8</t>
        </is>
      </c>
      <c r="H103" s="30" t="inlineStr">
        <is>
          <t>Technopolymer Fitting Tube To Tube Connector 8mm Tube</t>
        </is>
      </c>
      <c r="I103" s="34" t="n">
        <v>2</v>
      </c>
      <c r="J103" s="54" t="n">
        <v>2.71</v>
      </c>
      <c r="K103" s="54">
        <f>IF(AND(I103&lt;&gt;"",J103&lt;&gt;""),I103*J103,"")</f>
        <v/>
      </c>
      <c r="L103" s="30" t="inlineStr"/>
      <c r="M103" s="30" t="inlineStr">
        <is>
          <t>Sri</t>
        </is>
      </c>
      <c r="N103" s="30" t="inlineStr"/>
      <c r="O103" s="30" t="inlineStr">
        <is>
          <t>Ordered</t>
        </is>
      </c>
      <c r="P103" s="30" t="inlineStr">
        <is>
          <t>Net Automation</t>
        </is>
      </c>
      <c r="Q103" s="30" t="inlineStr">
        <is>
          <t>PO120150</t>
        </is>
      </c>
      <c r="R103" s="53" t="n"/>
      <c r="S103" s="53" t="n"/>
      <c r="T103" s="53" t="n"/>
      <c r="U103" s="30">
        <f>IF(T103&lt;&gt;"","Received",IF(AND(S103&lt;&gt;"",S103&lt;TODAY()),"⚠ Overdue","On Track"))</f>
        <v/>
      </c>
      <c r="V103" s="30" t="inlineStr"/>
    </row>
    <row r="104" ht="18" customHeight="1">
      <c r="A104" s="28">
        <f>IF(B104&lt;&gt;"",ROW()-2,"")</f>
        <v/>
      </c>
      <c r="B104" s="23" t="inlineStr">
        <is>
          <t>801258</t>
        </is>
      </c>
      <c r="C104" s="24" t="inlineStr"/>
      <c r="D104" s="51" t="n"/>
      <c r="E104" s="51" t="n"/>
      <c r="F104" s="13">
        <f>IF(AND(D104&lt;&gt;"",E104&lt;&gt;""),E104-D104,"")</f>
        <v/>
      </c>
      <c r="G104" s="24" t="inlineStr">
        <is>
          <t>G7580 8</t>
        </is>
      </c>
      <c r="H104" s="24" t="inlineStr">
        <is>
          <t>Technopolymer Fitting Tube To Tube Connector 8mm Tube</t>
        </is>
      </c>
      <c r="I104" s="28" t="n">
        <v>2</v>
      </c>
      <c r="J104" s="52" t="n">
        <v>2.71</v>
      </c>
      <c r="K104" s="52">
        <f>IF(AND(I104&lt;&gt;"",J104&lt;&gt;""),I104*J104,"")</f>
        <v/>
      </c>
      <c r="L104" s="24" t="inlineStr"/>
      <c r="M104" s="24" t="inlineStr">
        <is>
          <t>Sri</t>
        </is>
      </c>
      <c r="N104" s="24" t="inlineStr"/>
      <c r="O104" s="24" t="inlineStr">
        <is>
          <t>Ordered</t>
        </is>
      </c>
      <c r="P104" s="24" t="inlineStr">
        <is>
          <t>Net Automation</t>
        </is>
      </c>
      <c r="Q104" s="24" t="inlineStr">
        <is>
          <t>PO120150</t>
        </is>
      </c>
      <c r="R104" s="51" t="n"/>
      <c r="S104" s="51" t="n"/>
      <c r="T104" s="51" t="n"/>
      <c r="U104" s="24">
        <f>IF(T104&lt;&gt;"","Received",IF(AND(S104&lt;&gt;"",S104&lt;TODAY()),"⚠ Overdue","On Track"))</f>
        <v/>
      </c>
      <c r="V104" s="24" t="inlineStr"/>
    </row>
    <row r="105" ht="18" customHeight="1">
      <c r="A105" s="34">
        <f>IF(B105&lt;&gt;"",ROW()-2,"")</f>
        <v/>
      </c>
      <c r="B105" s="29" t="inlineStr">
        <is>
          <t>801259</t>
        </is>
      </c>
      <c r="C105" s="30" t="inlineStr"/>
      <c r="D105" s="53" t="n"/>
      <c r="E105" s="53" t="n"/>
      <c r="F105" s="18">
        <f>IF(AND(D105&lt;&gt;"",E105&lt;&gt;""),E105-D105,"")</f>
        <v/>
      </c>
      <c r="G105" s="30" t="inlineStr">
        <is>
          <t>G7580 8</t>
        </is>
      </c>
      <c r="H105" s="30" t="inlineStr">
        <is>
          <t>Technopolymer Fitting Tube To Tube Connector 8mm Tube</t>
        </is>
      </c>
      <c r="I105" s="34" t="n">
        <v>2</v>
      </c>
      <c r="J105" s="54" t="n">
        <v>2.71</v>
      </c>
      <c r="K105" s="54">
        <f>IF(AND(I105&lt;&gt;"",J105&lt;&gt;""),I105*J105,"")</f>
        <v/>
      </c>
      <c r="L105" s="30" t="inlineStr"/>
      <c r="M105" s="30" t="inlineStr">
        <is>
          <t>Sri</t>
        </is>
      </c>
      <c r="N105" s="30" t="inlineStr"/>
      <c r="O105" s="30" t="inlineStr">
        <is>
          <t>Ordered</t>
        </is>
      </c>
      <c r="P105" s="30" t="inlineStr">
        <is>
          <t>Net Automation</t>
        </is>
      </c>
      <c r="Q105" s="30" t="inlineStr">
        <is>
          <t>PO120150</t>
        </is>
      </c>
      <c r="R105" s="53" t="n"/>
      <c r="S105" s="53" t="n"/>
      <c r="T105" s="53" t="n"/>
      <c r="U105" s="30">
        <f>IF(T105&lt;&gt;"","Received",IF(AND(S105&lt;&gt;"",S105&lt;TODAY()),"⚠ Overdue","On Track"))</f>
        <v/>
      </c>
      <c r="V105" s="30" t="inlineStr"/>
    </row>
    <row r="106" ht="18" customHeight="1">
      <c r="A106" s="28">
        <f>IF(B106&lt;&gt;"",ROW()-2,"")</f>
        <v/>
      </c>
      <c r="B106" s="23" t="inlineStr">
        <is>
          <t>801260</t>
        </is>
      </c>
      <c r="C106" s="24" t="inlineStr"/>
      <c r="D106" s="51" t="n"/>
      <c r="E106" s="51" t="n"/>
      <c r="F106" s="13">
        <f>IF(AND(D106&lt;&gt;"",E106&lt;&gt;""),E106-D106,"")</f>
        <v/>
      </c>
      <c r="G106" s="24" t="inlineStr">
        <is>
          <t>G7580 8</t>
        </is>
      </c>
      <c r="H106" s="24" t="inlineStr">
        <is>
          <t>Technopolymer Fitting Tube To Tube Connector 8mm Tube</t>
        </is>
      </c>
      <c r="I106" s="28" t="n">
        <v>2</v>
      </c>
      <c r="J106" s="52" t="n">
        <v>2.71</v>
      </c>
      <c r="K106" s="52">
        <f>IF(AND(I106&lt;&gt;"",J106&lt;&gt;""),I106*J106,"")</f>
        <v/>
      </c>
      <c r="L106" s="24" t="inlineStr"/>
      <c r="M106" s="24" t="inlineStr">
        <is>
          <t>Sri</t>
        </is>
      </c>
      <c r="N106" s="24" t="inlineStr"/>
      <c r="O106" s="24" t="inlineStr">
        <is>
          <t>Ordered</t>
        </is>
      </c>
      <c r="P106" s="24" t="inlineStr">
        <is>
          <t>Net Automation</t>
        </is>
      </c>
      <c r="Q106" s="24" t="inlineStr">
        <is>
          <t>PO120150</t>
        </is>
      </c>
      <c r="R106" s="51" t="n"/>
      <c r="S106" s="51" t="n"/>
      <c r="T106" s="51" t="n"/>
      <c r="U106" s="24">
        <f>IF(T106&lt;&gt;"","Received",IF(AND(S106&lt;&gt;"",S106&lt;TODAY()),"⚠ Overdue","On Track"))</f>
        <v/>
      </c>
      <c r="V106" s="24" t="inlineStr"/>
    </row>
    <row r="107" ht="18" customHeight="1">
      <c r="A107" s="34">
        <f>IF(B107&lt;&gt;"",ROW()-2,"")</f>
        <v/>
      </c>
      <c r="B107" s="29" t="inlineStr">
        <is>
          <t>801216</t>
        </is>
      </c>
      <c r="C107" s="30" t="inlineStr"/>
      <c r="D107" s="53" t="n"/>
      <c r="E107" s="53" t="n"/>
      <c r="F107" s="18">
        <f>IF(AND(D107&lt;&gt;"",E107&lt;&gt;""),E107-D107,"")</f>
        <v/>
      </c>
      <c r="G107" s="30" t="inlineStr">
        <is>
          <t>NA-IND-30715G</t>
        </is>
      </c>
      <c r="H107" s="30" t="inlineStr">
        <is>
          <t>22MM RG INDICATOR REPL PXV</t>
        </is>
      </c>
      <c r="I107" s="34" t="n">
        <v>1</v>
      </c>
      <c r="J107" s="54" t="n">
        <v>140</v>
      </c>
      <c r="K107" s="54">
        <f>IF(AND(I107&lt;&gt;"",J107&lt;&gt;""),I107*J107,"")</f>
        <v/>
      </c>
      <c r="L107" s="30" t="inlineStr"/>
      <c r="M107" s="30" t="inlineStr"/>
      <c r="N107" s="30" t="inlineStr"/>
      <c r="O107" s="30" t="inlineStr">
        <is>
          <t>Ordered</t>
        </is>
      </c>
      <c r="P107" s="30" t="inlineStr">
        <is>
          <t>Net Automation</t>
        </is>
      </c>
      <c r="Q107" s="30" t="inlineStr">
        <is>
          <t>PO119961</t>
        </is>
      </c>
      <c r="R107" s="53" t="n"/>
      <c r="S107" s="53" t="n"/>
      <c r="T107" s="53" t="n"/>
      <c r="U107" s="30">
        <f>IF(T107&lt;&gt;"","Received",IF(AND(S107&lt;&gt;"",S107&lt;TODAY()),"⚠ Overdue","On Track"))</f>
        <v/>
      </c>
      <c r="V107" s="30" t="inlineStr"/>
    </row>
    <row r="108" ht="18" customHeight="1">
      <c r="A108" s="28">
        <f>IF(B108&lt;&gt;"",ROW()-2,"")</f>
        <v/>
      </c>
      <c r="B108" s="23" t="inlineStr">
        <is>
          <t>801217</t>
        </is>
      </c>
      <c r="C108" s="24" t="inlineStr"/>
      <c r="D108" s="51" t="n"/>
      <c r="E108" s="51" t="n"/>
      <c r="F108" s="13">
        <f>IF(AND(D108&lt;&gt;"",E108&lt;&gt;""),E108-D108,"")</f>
        <v/>
      </c>
      <c r="G108" s="24" t="inlineStr">
        <is>
          <t>NA-IND-30715G</t>
        </is>
      </c>
      <c r="H108" s="24" t="inlineStr">
        <is>
          <t>22MM RG INDICATOR REPL PXV</t>
        </is>
      </c>
      <c r="I108" s="28" t="n">
        <v>1</v>
      </c>
      <c r="J108" s="52" t="n">
        <v>140</v>
      </c>
      <c r="K108" s="52">
        <f>IF(AND(I108&lt;&gt;"",J108&lt;&gt;""),I108*J108,"")</f>
        <v/>
      </c>
      <c r="L108" s="24" t="inlineStr"/>
      <c r="M108" s="24" t="inlineStr"/>
      <c r="N108" s="24" t="inlineStr"/>
      <c r="O108" s="24" t="inlineStr">
        <is>
          <t>Ordered</t>
        </is>
      </c>
      <c r="P108" s="24" t="inlineStr">
        <is>
          <t>Net Automation</t>
        </is>
      </c>
      <c r="Q108" s="24" t="inlineStr">
        <is>
          <t>PO119961</t>
        </is>
      </c>
      <c r="R108" s="51" t="n"/>
      <c r="S108" s="51" t="n"/>
      <c r="T108" s="51" t="n"/>
      <c r="U108" s="24">
        <f>IF(T108&lt;&gt;"","Received",IF(AND(S108&lt;&gt;"",S108&lt;TODAY()),"⚠ Overdue","On Track"))</f>
        <v/>
      </c>
      <c r="V108" s="24" t="inlineStr"/>
    </row>
    <row r="109" ht="18" customHeight="1">
      <c r="A109" s="34">
        <f>IF(B109&lt;&gt;"",ROW()-2,"")</f>
        <v/>
      </c>
      <c r="B109" s="29" t="inlineStr">
        <is>
          <t>801218</t>
        </is>
      </c>
      <c r="C109" s="30" t="inlineStr"/>
      <c r="D109" s="53" t="n"/>
      <c r="E109" s="53" t="n"/>
      <c r="F109" s="18">
        <f>IF(AND(D109&lt;&gt;"",E109&lt;&gt;""),E109-D109,"")</f>
        <v/>
      </c>
      <c r="G109" s="30" t="inlineStr">
        <is>
          <t>NA-IND-30715G</t>
        </is>
      </c>
      <c r="H109" s="30" t="inlineStr">
        <is>
          <t>22MM RG INDICATOR REPL PXV</t>
        </is>
      </c>
      <c r="I109" s="34" t="n">
        <v>1</v>
      </c>
      <c r="J109" s="54" t="n">
        <v>140</v>
      </c>
      <c r="K109" s="54">
        <f>IF(AND(I109&lt;&gt;"",J109&lt;&gt;""),I109*J109,"")</f>
        <v/>
      </c>
      <c r="L109" s="30" t="inlineStr"/>
      <c r="M109" s="30" t="inlineStr"/>
      <c r="N109" s="30" t="inlineStr"/>
      <c r="O109" s="30" t="inlineStr">
        <is>
          <t>Ordered</t>
        </is>
      </c>
      <c r="P109" s="30" t="inlineStr">
        <is>
          <t>Net Automation</t>
        </is>
      </c>
      <c r="Q109" s="30" t="inlineStr">
        <is>
          <t>PO119961</t>
        </is>
      </c>
      <c r="R109" s="53" t="n"/>
      <c r="S109" s="53" t="n"/>
      <c r="T109" s="53" t="n"/>
      <c r="U109" s="30">
        <f>IF(T109&lt;&gt;"","Received",IF(AND(S109&lt;&gt;"",S109&lt;TODAY()),"⚠ Overdue","On Track"))</f>
        <v/>
      </c>
      <c r="V109" s="30" t="inlineStr"/>
    </row>
    <row r="110" ht="18" customHeight="1">
      <c r="A110" s="28">
        <f>IF(B110&lt;&gt;"",ROW()-2,"")</f>
        <v/>
      </c>
      <c r="B110" s="23" t="inlineStr">
        <is>
          <t>801219</t>
        </is>
      </c>
      <c r="C110" s="24" t="inlineStr"/>
      <c r="D110" s="51" t="n"/>
      <c r="E110" s="51" t="n"/>
      <c r="F110" s="13">
        <f>IF(AND(D110&lt;&gt;"",E110&lt;&gt;""),E110-D110,"")</f>
        <v/>
      </c>
      <c r="G110" s="24" t="inlineStr">
        <is>
          <t>NA-IND-30715G</t>
        </is>
      </c>
      <c r="H110" s="24" t="inlineStr">
        <is>
          <t>22MM RG INDICATOR REPL PXV</t>
        </is>
      </c>
      <c r="I110" s="28" t="n">
        <v>1</v>
      </c>
      <c r="J110" s="52" t="n">
        <v>140</v>
      </c>
      <c r="K110" s="52">
        <f>IF(AND(I110&lt;&gt;"",J110&lt;&gt;""),I110*J110,"")</f>
        <v/>
      </c>
      <c r="L110" s="24" t="inlineStr"/>
      <c r="M110" s="24" t="inlineStr"/>
      <c r="N110" s="24" t="inlineStr"/>
      <c r="O110" s="24" t="inlineStr">
        <is>
          <t>Ordered</t>
        </is>
      </c>
      <c r="P110" s="24" t="inlineStr">
        <is>
          <t>Net Automation</t>
        </is>
      </c>
      <c r="Q110" s="24" t="inlineStr">
        <is>
          <t>PO119961</t>
        </is>
      </c>
      <c r="R110" s="51" t="n"/>
      <c r="S110" s="51" t="n"/>
      <c r="T110" s="51" t="n"/>
      <c r="U110" s="24">
        <f>IF(T110&lt;&gt;"","Received",IF(AND(S110&lt;&gt;"",S110&lt;TODAY()),"⚠ Overdue","On Track"))</f>
        <v/>
      </c>
      <c r="V110" s="24" t="inlineStr"/>
    </row>
    <row r="111" ht="18" customHeight="1">
      <c r="A111" s="34">
        <f>IF(B111&lt;&gt;"",ROW()-2,"")</f>
        <v/>
      </c>
      <c r="B111" s="29" t="inlineStr">
        <is>
          <t>801237</t>
        </is>
      </c>
      <c r="C111" s="30" t="inlineStr"/>
      <c r="D111" s="53" t="n"/>
      <c r="E111" s="53" t="n"/>
      <c r="F111" s="18">
        <f>IF(AND(D111&lt;&gt;"",E111&lt;&gt;""),E111-D111,"")</f>
        <v/>
      </c>
      <c r="G111" s="30" t="inlineStr">
        <is>
          <t>NA-IND-30715G</t>
        </is>
      </c>
      <c r="H111" s="30" t="inlineStr">
        <is>
          <t>22MM RG INDICATOR REPL PXV</t>
        </is>
      </c>
      <c r="I111" s="34" t="n">
        <v>1</v>
      </c>
      <c r="J111" s="54" t="n">
        <v>140</v>
      </c>
      <c r="K111" s="54">
        <f>IF(AND(I111&lt;&gt;"",J111&lt;&gt;""),I111*J111,"")</f>
        <v/>
      </c>
      <c r="L111" s="30" t="inlineStr"/>
      <c r="M111" s="30" t="inlineStr"/>
      <c r="N111" s="30" t="inlineStr"/>
      <c r="O111" s="30" t="inlineStr">
        <is>
          <t>Ordered</t>
        </is>
      </c>
      <c r="P111" s="30" t="inlineStr">
        <is>
          <t>Net Automation</t>
        </is>
      </c>
      <c r="Q111" s="30" t="inlineStr">
        <is>
          <t>PO119961</t>
        </is>
      </c>
      <c r="R111" s="53" t="n"/>
      <c r="S111" s="53" t="n"/>
      <c r="T111" s="53" t="n"/>
      <c r="U111" s="30">
        <f>IF(T111&lt;&gt;"","Received",IF(AND(S111&lt;&gt;"",S111&lt;TODAY()),"⚠ Overdue","On Track"))</f>
        <v/>
      </c>
      <c r="V111" s="30" t="inlineStr"/>
    </row>
    <row r="112" ht="18" customHeight="1">
      <c r="A112" s="28">
        <f>IF(B112&lt;&gt;"",ROW()-2,"")</f>
        <v/>
      </c>
      <c r="B112" s="23" t="inlineStr">
        <is>
          <t>801238</t>
        </is>
      </c>
      <c r="C112" s="24" t="inlineStr"/>
      <c r="D112" s="51" t="n"/>
      <c r="E112" s="51" t="n"/>
      <c r="F112" s="13">
        <f>IF(AND(D112&lt;&gt;"",E112&lt;&gt;""),E112-D112,"")</f>
        <v/>
      </c>
      <c r="G112" s="24" t="inlineStr">
        <is>
          <t>NA-IND-30715G</t>
        </is>
      </c>
      <c r="H112" s="24" t="inlineStr">
        <is>
          <t>22MM RG INDICATOR REPL PXV</t>
        </is>
      </c>
      <c r="I112" s="28" t="n">
        <v>1</v>
      </c>
      <c r="J112" s="52" t="n">
        <v>140</v>
      </c>
      <c r="K112" s="52">
        <f>IF(AND(I112&lt;&gt;"",J112&lt;&gt;""),I112*J112,"")</f>
        <v/>
      </c>
      <c r="L112" s="24" t="inlineStr"/>
      <c r="M112" s="24" t="inlineStr"/>
      <c r="N112" s="24" t="inlineStr"/>
      <c r="O112" s="24" t="inlineStr">
        <is>
          <t>Ordered</t>
        </is>
      </c>
      <c r="P112" s="24" t="inlineStr">
        <is>
          <t>Net Automation</t>
        </is>
      </c>
      <c r="Q112" s="24" t="inlineStr">
        <is>
          <t>PO119961</t>
        </is>
      </c>
      <c r="R112" s="51" t="n"/>
      <c r="S112" s="51" t="n"/>
      <c r="T112" s="51" t="n"/>
      <c r="U112" s="24">
        <f>IF(T112&lt;&gt;"","Received",IF(AND(S112&lt;&gt;"",S112&lt;TODAY()),"⚠ Overdue","On Track"))</f>
        <v/>
      </c>
      <c r="V112" s="24" t="inlineStr"/>
    </row>
    <row r="113" ht="18" customHeight="1">
      <c r="A113" s="34">
        <f>IF(B113&lt;&gt;"",ROW()-2,"")</f>
        <v/>
      </c>
      <c r="B113" s="29" t="inlineStr">
        <is>
          <t>801239</t>
        </is>
      </c>
      <c r="C113" s="30" t="inlineStr"/>
      <c r="D113" s="53" t="n"/>
      <c r="E113" s="53" t="n"/>
      <c r="F113" s="18">
        <f>IF(AND(D113&lt;&gt;"",E113&lt;&gt;""),E113-D113,"")</f>
        <v/>
      </c>
      <c r="G113" s="30" t="inlineStr">
        <is>
          <t>NA-IND-30715G</t>
        </is>
      </c>
      <c r="H113" s="30" t="inlineStr">
        <is>
          <t>22MM RG INDICATOR REPL PXV</t>
        </is>
      </c>
      <c r="I113" s="34" t="n">
        <v>1</v>
      </c>
      <c r="J113" s="54" t="n">
        <v>140</v>
      </c>
      <c r="K113" s="54">
        <f>IF(AND(I113&lt;&gt;"",J113&lt;&gt;""),I113*J113,"")</f>
        <v/>
      </c>
      <c r="L113" s="30" t="inlineStr"/>
      <c r="M113" s="30" t="inlineStr"/>
      <c r="N113" s="30" t="inlineStr"/>
      <c r="O113" s="30" t="inlineStr">
        <is>
          <t>Ordered</t>
        </is>
      </c>
      <c r="P113" s="30" t="inlineStr">
        <is>
          <t>Net Automation</t>
        </is>
      </c>
      <c r="Q113" s="30" t="inlineStr">
        <is>
          <t>PO119961</t>
        </is>
      </c>
      <c r="R113" s="53" t="n"/>
      <c r="S113" s="53" t="n"/>
      <c r="T113" s="53" t="n"/>
      <c r="U113" s="30">
        <f>IF(T113&lt;&gt;"","Received",IF(AND(S113&lt;&gt;"",S113&lt;TODAY()),"⚠ Overdue","On Track"))</f>
        <v/>
      </c>
      <c r="V113" s="30" t="inlineStr"/>
    </row>
    <row r="114" ht="18" customHeight="1">
      <c r="A114" s="28">
        <f>IF(B114&lt;&gt;"",ROW()-2,"")</f>
        <v/>
      </c>
      <c r="B114" s="23" t="inlineStr">
        <is>
          <t>801240</t>
        </is>
      </c>
      <c r="C114" s="24" t="inlineStr"/>
      <c r="D114" s="51" t="n"/>
      <c r="E114" s="51" t="n"/>
      <c r="F114" s="13">
        <f>IF(AND(D114&lt;&gt;"",E114&lt;&gt;""),E114-D114,"")</f>
        <v/>
      </c>
      <c r="G114" s="24" t="inlineStr">
        <is>
          <t>NA-IND-30715G</t>
        </is>
      </c>
      <c r="H114" s="24" t="inlineStr">
        <is>
          <t>22MM RG INDICATOR REPL PXV</t>
        </is>
      </c>
      <c r="I114" s="28" t="n">
        <v>1</v>
      </c>
      <c r="J114" s="52" t="n">
        <v>140</v>
      </c>
      <c r="K114" s="52">
        <f>IF(AND(I114&lt;&gt;"",J114&lt;&gt;""),I114*J114,"")</f>
        <v/>
      </c>
      <c r="L114" s="24" t="inlineStr"/>
      <c r="M114" s="24" t="inlineStr"/>
      <c r="N114" s="24" t="inlineStr"/>
      <c r="O114" s="24" t="inlineStr">
        <is>
          <t>Ordered</t>
        </is>
      </c>
      <c r="P114" s="24" t="inlineStr">
        <is>
          <t>Net Automation</t>
        </is>
      </c>
      <c r="Q114" s="24" t="inlineStr">
        <is>
          <t>PO119961</t>
        </is>
      </c>
      <c r="R114" s="51" t="n"/>
      <c r="S114" s="51" t="n"/>
      <c r="T114" s="51" t="n"/>
      <c r="U114" s="24">
        <f>IF(T114&lt;&gt;"","Received",IF(AND(S114&lt;&gt;"",S114&lt;TODAY()),"⚠ Overdue","On Track"))</f>
        <v/>
      </c>
      <c r="V114" s="24" t="inlineStr"/>
    </row>
    <row r="115" ht="18" customHeight="1">
      <c r="A115" s="34">
        <f>IF(B115&lt;&gt;"",ROW()-2,"")</f>
        <v/>
      </c>
      <c r="B115" s="29" t="inlineStr">
        <is>
          <t>801215</t>
        </is>
      </c>
      <c r="C115" s="30" t="inlineStr"/>
      <c r="D115" s="53" t="n"/>
      <c r="E115" s="53" t="n"/>
      <c r="F115" s="18">
        <f>IF(AND(D115&lt;&gt;"",E115&lt;&gt;""),E115-D115,"")</f>
        <v/>
      </c>
      <c r="G115" s="30" t="inlineStr">
        <is>
          <t>PS7-4</t>
        </is>
      </c>
      <c r="H115" s="30" t="inlineStr">
        <is>
          <t>LADDER</t>
        </is>
      </c>
      <c r="I115" s="34" t="n">
        <v>1</v>
      </c>
      <c r="J115" s="54" t="n">
        <v>140</v>
      </c>
      <c r="K115" s="54">
        <f>IF(AND(I115&lt;&gt;"",J115&lt;&gt;""),I115*J115,"")</f>
        <v/>
      </c>
      <c r="L115" s="30" t="inlineStr"/>
      <c r="M115" s="30" t="inlineStr"/>
      <c r="N115" s="30" t="inlineStr"/>
      <c r="O115" s="30" t="inlineStr">
        <is>
          <t>Ordered</t>
        </is>
      </c>
      <c r="P115" s="30" t="inlineStr">
        <is>
          <t>Net Automation</t>
        </is>
      </c>
      <c r="Q115" s="30" t="inlineStr">
        <is>
          <t>PO119961</t>
        </is>
      </c>
      <c r="R115" s="53" t="n"/>
      <c r="S115" s="53" t="n"/>
      <c r="T115" s="53" t="n"/>
      <c r="U115" s="30">
        <f>IF(T115&lt;&gt;"","Received",IF(AND(S115&lt;&gt;"",S115&lt;TODAY()),"⚠ Overdue","On Track"))</f>
        <v/>
      </c>
      <c r="V115" s="30" t="inlineStr"/>
    </row>
    <row r="116" ht="18" customHeight="1">
      <c r="A116" s="28">
        <f>IF(B116&lt;&gt;"",ROW()-2,"")</f>
        <v/>
      </c>
      <c r="B116" s="23" t="inlineStr">
        <is>
          <t>801216</t>
        </is>
      </c>
      <c r="C116" s="24" t="inlineStr"/>
      <c r="D116" s="51" t="n"/>
      <c r="E116" s="51" t="n"/>
      <c r="F116" s="13">
        <f>IF(AND(D116&lt;&gt;"",E116&lt;&gt;""),E116-D116,"")</f>
        <v/>
      </c>
      <c r="G116" s="24" t="inlineStr">
        <is>
          <t>SKGPMT</t>
        </is>
      </c>
      <c r="H116" s="24" t="inlineStr">
        <is>
          <t>SPILL KIT 25L</t>
        </is>
      </c>
      <c r="I116" s="28" t="n">
        <v>1</v>
      </c>
      <c r="J116" s="52" t="n">
        <v>85.13</v>
      </c>
      <c r="K116" s="52">
        <f>IF(AND(I116&lt;&gt;"",J116&lt;&gt;""),I116*J116,"")</f>
        <v/>
      </c>
      <c r="L116" s="24" t="inlineStr"/>
      <c r="M116" s="24" t="inlineStr"/>
      <c r="N116" s="24" t="inlineStr"/>
      <c r="O116" s="24" t="inlineStr">
        <is>
          <t>Ordered</t>
        </is>
      </c>
      <c r="P116" s="24" t="inlineStr">
        <is>
          <t>GLOBAL SPILL CONTROL</t>
        </is>
      </c>
      <c r="Q116" s="24" t="inlineStr">
        <is>
          <t>PO117056</t>
        </is>
      </c>
      <c r="R116" s="51" t="n"/>
      <c r="S116" s="51" t="n"/>
      <c r="T116" s="51" t="n"/>
      <c r="U116" s="24">
        <f>IF(T116&lt;&gt;"","Received",IF(AND(S116&lt;&gt;"",S116&lt;TODAY()),"⚠ Overdue","On Track"))</f>
        <v/>
      </c>
      <c r="V116" s="24" t="inlineStr"/>
    </row>
    <row r="117" ht="18" customHeight="1">
      <c r="A117" s="34">
        <f>IF(B117&lt;&gt;"",ROW()-2,"")</f>
        <v/>
      </c>
      <c r="B117" s="29" t="inlineStr">
        <is>
          <t>801217</t>
        </is>
      </c>
      <c r="C117" s="30" t="inlineStr"/>
      <c r="D117" s="53" t="n"/>
      <c r="E117" s="53" t="n"/>
      <c r="F117" s="18">
        <f>IF(AND(D117&lt;&gt;"",E117&lt;&gt;""),E117-D117,"")</f>
        <v/>
      </c>
      <c r="G117" s="30" t="inlineStr">
        <is>
          <t>SKGPMT</t>
        </is>
      </c>
      <c r="H117" s="30" t="inlineStr">
        <is>
          <t>SPILL KIT 25L</t>
        </is>
      </c>
      <c r="I117" s="34" t="n">
        <v>1</v>
      </c>
      <c r="J117" s="54" t="n">
        <v>85.13</v>
      </c>
      <c r="K117" s="54">
        <f>IF(AND(I117&lt;&gt;"",J117&lt;&gt;""),I117*J117,"")</f>
        <v/>
      </c>
      <c r="L117" s="30" t="inlineStr"/>
      <c r="M117" s="30" t="inlineStr"/>
      <c r="N117" s="30" t="inlineStr"/>
      <c r="O117" s="30" t="inlineStr">
        <is>
          <t>Ordered</t>
        </is>
      </c>
      <c r="P117" s="30" t="inlineStr">
        <is>
          <t>GLOBAL SPILL CONTROL</t>
        </is>
      </c>
      <c r="Q117" s="30" t="inlineStr">
        <is>
          <t>PO117056</t>
        </is>
      </c>
      <c r="R117" s="53" t="n"/>
      <c r="S117" s="53" t="n"/>
      <c r="T117" s="53" t="n"/>
      <c r="U117" s="30">
        <f>IF(T117&lt;&gt;"","Received",IF(AND(S117&lt;&gt;"",S117&lt;TODAY()),"⚠ Overdue","On Track"))</f>
        <v/>
      </c>
      <c r="V117" s="30" t="inlineStr"/>
    </row>
    <row r="118" ht="18" customHeight="1">
      <c r="A118" s="28">
        <f>IF(B118&lt;&gt;"",ROW()-2,"")</f>
        <v/>
      </c>
      <c r="B118" s="23" t="inlineStr">
        <is>
          <t>801218</t>
        </is>
      </c>
      <c r="C118" s="24" t="inlineStr"/>
      <c r="D118" s="51" t="n"/>
      <c r="E118" s="51" t="n"/>
      <c r="F118" s="13">
        <f>IF(AND(D118&lt;&gt;"",E118&lt;&gt;""),E118-D118,"")</f>
        <v/>
      </c>
      <c r="G118" s="24" t="inlineStr">
        <is>
          <t>SKGPMT</t>
        </is>
      </c>
      <c r="H118" s="24" t="inlineStr">
        <is>
          <t>SPILL KIT 25L</t>
        </is>
      </c>
      <c r="I118" s="28" t="n">
        <v>1</v>
      </c>
      <c r="J118" s="52" t="n">
        <v>85.13</v>
      </c>
      <c r="K118" s="52">
        <f>IF(AND(I118&lt;&gt;"",J118&lt;&gt;""),I118*J118,"")</f>
        <v/>
      </c>
      <c r="L118" s="24" t="inlineStr"/>
      <c r="M118" s="24" t="inlineStr"/>
      <c r="N118" s="24" t="inlineStr"/>
      <c r="O118" s="24" t="inlineStr">
        <is>
          <t>Ordered</t>
        </is>
      </c>
      <c r="P118" s="24" t="inlineStr">
        <is>
          <t>GLOBAL SPILL CONTROL</t>
        </is>
      </c>
      <c r="Q118" s="24" t="inlineStr">
        <is>
          <t>PO117056</t>
        </is>
      </c>
      <c r="R118" s="51" t="n"/>
      <c r="S118" s="51" t="n"/>
      <c r="T118" s="51" t="n"/>
      <c r="U118" s="24">
        <f>IF(T118&lt;&gt;"","Received",IF(AND(S118&lt;&gt;"",S118&lt;TODAY()),"⚠ Overdue","On Track"))</f>
        <v/>
      </c>
      <c r="V118" s="24" t="inlineStr"/>
    </row>
    <row r="119" ht="18" customHeight="1">
      <c r="A119" s="34">
        <f>IF(B119&lt;&gt;"",ROW()-2,"")</f>
        <v/>
      </c>
      <c r="B119" s="29" t="inlineStr">
        <is>
          <t>801219</t>
        </is>
      </c>
      <c r="C119" s="30" t="inlineStr"/>
      <c r="D119" s="53" t="n"/>
      <c r="E119" s="53" t="n"/>
      <c r="F119" s="18">
        <f>IF(AND(D119&lt;&gt;"",E119&lt;&gt;""),E119-D119,"")</f>
        <v/>
      </c>
      <c r="G119" s="30" t="inlineStr">
        <is>
          <t>SKGPMT</t>
        </is>
      </c>
      <c r="H119" s="30" t="inlineStr">
        <is>
          <t>SPILL KIT 25L</t>
        </is>
      </c>
      <c r="I119" s="34" t="n">
        <v>1</v>
      </c>
      <c r="J119" s="54" t="n">
        <v>85.13</v>
      </c>
      <c r="K119" s="54">
        <f>IF(AND(I119&lt;&gt;"",J119&lt;&gt;""),I119*J119,"")</f>
        <v/>
      </c>
      <c r="L119" s="30" t="inlineStr"/>
      <c r="M119" s="30" t="inlineStr"/>
      <c r="N119" s="30" t="inlineStr"/>
      <c r="O119" s="30" t="inlineStr">
        <is>
          <t>Ordered</t>
        </is>
      </c>
      <c r="P119" s="30" t="inlineStr">
        <is>
          <t>GLOBAL SPILL CONTROL</t>
        </is>
      </c>
      <c r="Q119" s="30" t="inlineStr">
        <is>
          <t>PO117056</t>
        </is>
      </c>
      <c r="R119" s="53" t="n"/>
      <c r="S119" s="53" t="n"/>
      <c r="T119" s="53" t="n"/>
      <c r="U119" s="30">
        <f>IF(T119&lt;&gt;"","Received",IF(AND(S119&lt;&gt;"",S119&lt;TODAY()),"⚠ Overdue","On Track"))</f>
        <v/>
      </c>
      <c r="V119" s="30" t="inlineStr"/>
    </row>
    <row r="120" ht="18" customHeight="1">
      <c r="A120" s="28">
        <f>IF(B120&lt;&gt;"",ROW()-2,"")</f>
        <v/>
      </c>
      <c r="B120" s="23" t="inlineStr">
        <is>
          <t>801237</t>
        </is>
      </c>
      <c r="C120" s="24" t="inlineStr"/>
      <c r="D120" s="51" t="n"/>
      <c r="E120" s="51" t="n"/>
      <c r="F120" s="13">
        <f>IF(AND(D120&lt;&gt;"",E120&lt;&gt;""),E120-D120,"")</f>
        <v/>
      </c>
      <c r="G120" s="24" t="inlineStr">
        <is>
          <t>SKGPMT</t>
        </is>
      </c>
      <c r="H120" s="24" t="inlineStr">
        <is>
          <t>SPILL KIT 25L</t>
        </is>
      </c>
      <c r="I120" s="28" t="n">
        <v>1</v>
      </c>
      <c r="J120" s="52" t="n">
        <v>85.13</v>
      </c>
      <c r="K120" s="52">
        <f>IF(AND(I120&lt;&gt;"",J120&lt;&gt;""),I120*J120,"")</f>
        <v/>
      </c>
      <c r="L120" s="24" t="inlineStr"/>
      <c r="M120" s="24" t="inlineStr"/>
      <c r="N120" s="24" t="inlineStr"/>
      <c r="O120" s="24" t="inlineStr">
        <is>
          <t>Ordered</t>
        </is>
      </c>
      <c r="P120" s="24" t="inlineStr">
        <is>
          <t>GLOBAL SPILL CONTROL</t>
        </is>
      </c>
      <c r="Q120" s="24" t="inlineStr">
        <is>
          <t>PO117056</t>
        </is>
      </c>
      <c r="R120" s="51" t="n"/>
      <c r="S120" s="51" t="n"/>
      <c r="T120" s="51" t="n"/>
      <c r="U120" s="24">
        <f>IF(T120&lt;&gt;"","Received",IF(AND(S120&lt;&gt;"",S120&lt;TODAY()),"⚠ Overdue","On Track"))</f>
        <v/>
      </c>
      <c r="V120" s="24" t="inlineStr"/>
    </row>
    <row r="121" ht="18" customHeight="1">
      <c r="A121" s="34">
        <f>IF(B121&lt;&gt;"",ROW()-2,"")</f>
        <v/>
      </c>
      <c r="B121" s="29" t="inlineStr">
        <is>
          <t>801238</t>
        </is>
      </c>
      <c r="C121" s="30" t="inlineStr"/>
      <c r="D121" s="53" t="n"/>
      <c r="E121" s="53" t="n"/>
      <c r="F121" s="18">
        <f>IF(AND(D121&lt;&gt;"",E121&lt;&gt;""),E121-D121,"")</f>
        <v/>
      </c>
      <c r="G121" s="30" t="inlineStr">
        <is>
          <t>SKGPMT</t>
        </is>
      </c>
      <c r="H121" s="30" t="inlineStr">
        <is>
          <t>SPILL KIT 25L</t>
        </is>
      </c>
      <c r="I121" s="34" t="n">
        <v>1</v>
      </c>
      <c r="J121" s="54" t="n">
        <v>85.13</v>
      </c>
      <c r="K121" s="54">
        <f>IF(AND(I121&lt;&gt;"",J121&lt;&gt;""),I121*J121,"")</f>
        <v/>
      </c>
      <c r="L121" s="30" t="inlineStr"/>
      <c r="M121" s="30" t="inlineStr"/>
      <c r="N121" s="30" t="inlineStr"/>
      <c r="O121" s="30" t="inlineStr">
        <is>
          <t>Ordered</t>
        </is>
      </c>
      <c r="P121" s="30" t="inlineStr">
        <is>
          <t>GLOBAL SPILL CONTROL</t>
        </is>
      </c>
      <c r="Q121" s="30" t="inlineStr">
        <is>
          <t>PO117056</t>
        </is>
      </c>
      <c r="R121" s="53" t="n"/>
      <c r="S121" s="53" t="n"/>
      <c r="T121" s="53" t="n"/>
      <c r="U121" s="30">
        <f>IF(T121&lt;&gt;"","Received",IF(AND(S121&lt;&gt;"",S121&lt;TODAY()),"⚠ Overdue","On Track"))</f>
        <v/>
      </c>
      <c r="V121" s="30" t="inlineStr"/>
    </row>
    <row r="122" ht="18" customHeight="1">
      <c r="A122" s="28">
        <f>IF(B122&lt;&gt;"",ROW()-2,"")</f>
        <v/>
      </c>
      <c r="B122" s="23" t="inlineStr">
        <is>
          <t>801239</t>
        </is>
      </c>
      <c r="C122" s="24" t="inlineStr"/>
      <c r="D122" s="51" t="n"/>
      <c r="E122" s="51" t="n"/>
      <c r="F122" s="13">
        <f>IF(AND(D122&lt;&gt;"",E122&lt;&gt;""),E122-D122,"")</f>
        <v/>
      </c>
      <c r="G122" s="24" t="inlineStr">
        <is>
          <t>SKGPMT</t>
        </is>
      </c>
      <c r="H122" s="24" t="inlineStr">
        <is>
          <t>SPILL KIT 25L</t>
        </is>
      </c>
      <c r="I122" s="28" t="n">
        <v>1</v>
      </c>
      <c r="J122" s="52" t="n">
        <v>85.13</v>
      </c>
      <c r="K122" s="52">
        <f>IF(AND(I122&lt;&gt;"",J122&lt;&gt;""),I122*J122,"")</f>
        <v/>
      </c>
      <c r="L122" s="24" t="inlineStr"/>
      <c r="M122" s="24" t="inlineStr"/>
      <c r="N122" s="24" t="inlineStr"/>
      <c r="O122" s="24" t="inlineStr">
        <is>
          <t>Ordered</t>
        </is>
      </c>
      <c r="P122" s="24" t="inlineStr">
        <is>
          <t>GLOBAL SPILL CONTROL</t>
        </is>
      </c>
      <c r="Q122" s="24" t="inlineStr">
        <is>
          <t>PO117056</t>
        </is>
      </c>
      <c r="R122" s="51" t="n"/>
      <c r="S122" s="51" t="n"/>
      <c r="T122" s="51" t="n"/>
      <c r="U122" s="24">
        <f>IF(T122&lt;&gt;"","Received",IF(AND(S122&lt;&gt;"",S122&lt;TODAY()),"⚠ Overdue","On Track"))</f>
        <v/>
      </c>
      <c r="V122" s="24" t="inlineStr"/>
    </row>
    <row r="123" ht="18" customHeight="1">
      <c r="A123" s="34">
        <f>IF(B123&lt;&gt;"",ROW()-2,"")</f>
        <v/>
      </c>
      <c r="B123" s="29" t="inlineStr">
        <is>
          <t>801240</t>
        </is>
      </c>
      <c r="C123" s="30" t="inlineStr"/>
      <c r="D123" s="53" t="n"/>
      <c r="E123" s="53" t="n"/>
      <c r="F123" s="18">
        <f>IF(AND(D123&lt;&gt;"",E123&lt;&gt;""),E123-D123,"")</f>
        <v/>
      </c>
      <c r="G123" s="30" t="inlineStr">
        <is>
          <t>SKGPMT</t>
        </is>
      </c>
      <c r="H123" s="30" t="inlineStr">
        <is>
          <t>SPILL KIT 25L</t>
        </is>
      </c>
      <c r="I123" s="34" t="n">
        <v>1</v>
      </c>
      <c r="J123" s="54" t="n">
        <v>85.13</v>
      </c>
      <c r="K123" s="54">
        <f>IF(AND(I123&lt;&gt;"",J123&lt;&gt;""),I123*J123,"")</f>
        <v/>
      </c>
      <c r="L123" s="30" t="inlineStr"/>
      <c r="M123" s="30" t="inlineStr"/>
      <c r="N123" s="30" t="inlineStr"/>
      <c r="O123" s="30" t="inlineStr">
        <is>
          <t>Ordered</t>
        </is>
      </c>
      <c r="P123" s="30" t="inlineStr">
        <is>
          <t>GLOBAL SPILL CONTROL</t>
        </is>
      </c>
      <c r="Q123" s="30" t="inlineStr">
        <is>
          <t>PO117056</t>
        </is>
      </c>
      <c r="R123" s="53" t="n"/>
      <c r="S123" s="53" t="n"/>
      <c r="T123" s="53" t="n"/>
      <c r="U123" s="30">
        <f>IF(T123&lt;&gt;"","Received",IF(AND(S123&lt;&gt;"",S123&lt;TODAY()),"⚠ Overdue","On Track"))</f>
        <v/>
      </c>
      <c r="V123" s="30" t="inlineStr"/>
    </row>
    <row r="124" ht="18" customHeight="1">
      <c r="A124" s="28">
        <f>IF(B124&lt;&gt;"",ROW()-2,"")</f>
        <v/>
      </c>
      <c r="B124" s="55" t="n"/>
      <c r="C124" s="55" t="n"/>
      <c r="D124" s="55" t="n"/>
      <c r="E124" s="55" t="n"/>
      <c r="F124" s="56">
        <f>IF(AND(D124&lt;&gt;"",E124&lt;&gt;""),E124-D124,"")</f>
        <v/>
      </c>
      <c r="G124" s="55" t="n"/>
      <c r="H124" s="55" t="n"/>
      <c r="I124" s="28" t="n"/>
      <c r="J124" s="52" t="n"/>
      <c r="K124" s="52">
        <f>IF(AND(I124&lt;&gt;"",J124&lt;&gt;""),I124*J124,"")</f>
        <v/>
      </c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>
        <f>IF(T124&lt;&gt;"","Received",IF(AND(S124&lt;&gt;"",S124&lt;TODAY()),"⚠ Overdue","On Track"))</f>
        <v/>
      </c>
      <c r="V124" s="55" t="n"/>
    </row>
    <row r="125" ht="18" customHeight="1">
      <c r="A125" s="34">
        <f>IF(B125&lt;&gt;"",ROW()-2,"")</f>
        <v/>
      </c>
      <c r="B125" s="57" t="n"/>
      <c r="C125" s="57" t="n"/>
      <c r="D125" s="57" t="n"/>
      <c r="E125" s="57" t="n"/>
      <c r="F125" s="58">
        <f>IF(AND(D125&lt;&gt;"",E125&lt;&gt;""),E125-D125,"")</f>
        <v/>
      </c>
      <c r="G125" s="57" t="n"/>
      <c r="H125" s="57" t="n"/>
      <c r="I125" s="34" t="n"/>
      <c r="J125" s="54" t="n"/>
      <c r="K125" s="54">
        <f>IF(AND(I125&lt;&gt;"",J125&lt;&gt;""),I125*J125,"")</f>
        <v/>
      </c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>
        <f>IF(T125&lt;&gt;"","Received",IF(AND(S125&lt;&gt;"",S125&lt;TODAY()),"⚠ Overdue","On Track"))</f>
        <v/>
      </c>
      <c r="V125" s="57" t="n"/>
    </row>
    <row r="126" ht="18" customHeight="1">
      <c r="A126" s="28">
        <f>IF(B126&lt;&gt;"",ROW()-2,"")</f>
        <v/>
      </c>
      <c r="B126" s="55" t="n"/>
      <c r="C126" s="55" t="n"/>
      <c r="D126" s="55" t="n"/>
      <c r="E126" s="55" t="n"/>
      <c r="F126" s="56">
        <f>IF(AND(D126&lt;&gt;"",E126&lt;&gt;""),E126-D126,"")</f>
        <v/>
      </c>
      <c r="G126" s="55" t="n"/>
      <c r="H126" s="55" t="n"/>
      <c r="I126" s="28" t="n"/>
      <c r="J126" s="52" t="n"/>
      <c r="K126" s="52">
        <f>IF(AND(I126&lt;&gt;"",J126&lt;&gt;""),I126*J126,"")</f>
        <v/>
      </c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>
        <f>IF(T126&lt;&gt;"","Received",IF(AND(S126&lt;&gt;"",S126&lt;TODAY()),"⚠ Overdue","On Track"))</f>
        <v/>
      </c>
      <c r="V126" s="55" t="n"/>
    </row>
    <row r="127" ht="18" customHeight="1">
      <c r="A127" s="34">
        <f>IF(B127&lt;&gt;"",ROW()-2,"")</f>
        <v/>
      </c>
      <c r="B127" s="57" t="n"/>
      <c r="C127" s="57" t="n"/>
      <c r="D127" s="57" t="n"/>
      <c r="E127" s="57" t="n"/>
      <c r="F127" s="58">
        <f>IF(AND(D127&lt;&gt;"",E127&lt;&gt;""),E127-D127,"")</f>
        <v/>
      </c>
      <c r="G127" s="57" t="n"/>
      <c r="H127" s="57" t="n"/>
      <c r="I127" s="34" t="n"/>
      <c r="J127" s="54" t="n"/>
      <c r="K127" s="54">
        <f>IF(AND(I127&lt;&gt;"",J127&lt;&gt;""),I127*J127,"")</f>
        <v/>
      </c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>
        <f>IF(T127&lt;&gt;"","Received",IF(AND(S127&lt;&gt;"",S127&lt;TODAY()),"⚠ Overdue","On Track"))</f>
        <v/>
      </c>
      <c r="V127" s="57" t="n"/>
    </row>
    <row r="128" ht="18" customHeight="1">
      <c r="A128" s="28">
        <f>IF(B128&lt;&gt;"",ROW()-2,"")</f>
        <v/>
      </c>
      <c r="B128" s="55" t="n"/>
      <c r="C128" s="55" t="n"/>
      <c r="D128" s="55" t="n"/>
      <c r="E128" s="55" t="n"/>
      <c r="F128" s="56">
        <f>IF(AND(D128&lt;&gt;"",E128&lt;&gt;""),E128-D128,"")</f>
        <v/>
      </c>
      <c r="G128" s="55" t="n"/>
      <c r="H128" s="55" t="n"/>
      <c r="I128" s="28" t="n"/>
      <c r="J128" s="52" t="n"/>
      <c r="K128" s="52">
        <f>IF(AND(I128&lt;&gt;"",J128&lt;&gt;""),I128*J128,"")</f>
        <v/>
      </c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>
        <f>IF(T128&lt;&gt;"","Received",IF(AND(S128&lt;&gt;"",S128&lt;TODAY()),"⚠ Overdue","On Track"))</f>
        <v/>
      </c>
      <c r="V128" s="55" t="n"/>
    </row>
    <row r="129" ht="18" customHeight="1">
      <c r="A129" s="34">
        <f>IF(B129&lt;&gt;"",ROW()-2,"")</f>
        <v/>
      </c>
      <c r="B129" s="57" t="n"/>
      <c r="C129" s="57" t="n"/>
      <c r="D129" s="57" t="n"/>
      <c r="E129" s="57" t="n"/>
      <c r="F129" s="58">
        <f>IF(AND(D129&lt;&gt;"",E129&lt;&gt;""),E129-D129,"")</f>
        <v/>
      </c>
      <c r="G129" s="57" t="n"/>
      <c r="H129" s="57" t="n"/>
      <c r="I129" s="34" t="n"/>
      <c r="J129" s="54" t="n"/>
      <c r="K129" s="54">
        <f>IF(AND(I129&lt;&gt;"",J129&lt;&gt;""),I129*J129,"")</f>
        <v/>
      </c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>
        <f>IF(T129&lt;&gt;"","Received",IF(AND(S129&lt;&gt;"",S129&lt;TODAY()),"⚠ Overdue","On Track"))</f>
        <v/>
      </c>
      <c r="V129" s="57" t="n"/>
    </row>
    <row r="130" ht="18" customHeight="1">
      <c r="A130" s="28">
        <f>IF(B130&lt;&gt;"",ROW()-2,"")</f>
        <v/>
      </c>
      <c r="B130" s="55" t="n"/>
      <c r="C130" s="55" t="n"/>
      <c r="D130" s="55" t="n"/>
      <c r="E130" s="55" t="n"/>
      <c r="F130" s="56">
        <f>IF(AND(D130&lt;&gt;"",E130&lt;&gt;""),E130-D130,"")</f>
        <v/>
      </c>
      <c r="G130" s="55" t="n"/>
      <c r="H130" s="55" t="n"/>
      <c r="I130" s="28" t="n"/>
      <c r="J130" s="52" t="n"/>
      <c r="K130" s="52">
        <f>IF(AND(I130&lt;&gt;"",J130&lt;&gt;""),I130*J130,"")</f>
        <v/>
      </c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>
        <f>IF(T130&lt;&gt;"","Received",IF(AND(S130&lt;&gt;"",S130&lt;TODAY()),"⚠ Overdue","On Track"))</f>
        <v/>
      </c>
      <c r="V130" s="55" t="n"/>
    </row>
    <row r="131" ht="18" customHeight="1">
      <c r="A131" s="34">
        <f>IF(B131&lt;&gt;"",ROW()-2,"")</f>
        <v/>
      </c>
      <c r="B131" s="57" t="n"/>
      <c r="C131" s="57" t="n"/>
      <c r="D131" s="57" t="n"/>
      <c r="E131" s="57" t="n"/>
      <c r="F131" s="58">
        <f>IF(AND(D131&lt;&gt;"",E131&lt;&gt;""),E131-D131,"")</f>
        <v/>
      </c>
      <c r="G131" s="57" t="n"/>
      <c r="H131" s="57" t="n"/>
      <c r="I131" s="34" t="n"/>
      <c r="J131" s="54" t="n"/>
      <c r="K131" s="54">
        <f>IF(AND(I131&lt;&gt;"",J131&lt;&gt;""),I131*J131,"")</f>
        <v/>
      </c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>
        <f>IF(T131&lt;&gt;"","Received",IF(AND(S131&lt;&gt;"",S131&lt;TODAY()),"⚠ Overdue","On Track"))</f>
        <v/>
      </c>
      <c r="V131" s="57" t="n"/>
    </row>
    <row r="132" ht="18" customHeight="1">
      <c r="A132" s="28">
        <f>IF(B132&lt;&gt;"",ROW()-2,"")</f>
        <v/>
      </c>
      <c r="B132" s="55" t="n"/>
      <c r="C132" s="55" t="n"/>
      <c r="D132" s="55" t="n"/>
      <c r="E132" s="55" t="n"/>
      <c r="F132" s="56">
        <f>IF(AND(D132&lt;&gt;"",E132&lt;&gt;""),E132-D132,"")</f>
        <v/>
      </c>
      <c r="G132" s="55" t="n"/>
      <c r="H132" s="55" t="n"/>
      <c r="I132" s="28" t="n"/>
      <c r="J132" s="52" t="n"/>
      <c r="K132" s="52">
        <f>IF(AND(I132&lt;&gt;"",J132&lt;&gt;""),I132*J132,"")</f>
        <v/>
      </c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>
        <f>IF(T132&lt;&gt;"","Received",IF(AND(S132&lt;&gt;"",S132&lt;TODAY()),"⚠ Overdue","On Track"))</f>
        <v/>
      </c>
      <c r="V132" s="55" t="n"/>
    </row>
    <row r="133" ht="18" customHeight="1">
      <c r="A133" s="34">
        <f>IF(B133&lt;&gt;"",ROW()-2,"")</f>
        <v/>
      </c>
      <c r="B133" s="57" t="n"/>
      <c r="C133" s="57" t="n"/>
      <c r="D133" s="57" t="n"/>
      <c r="E133" s="57" t="n"/>
      <c r="F133" s="58">
        <f>IF(AND(D133&lt;&gt;"",E133&lt;&gt;""),E133-D133,"")</f>
        <v/>
      </c>
      <c r="G133" s="57" t="n"/>
      <c r="H133" s="57" t="n"/>
      <c r="I133" s="34" t="n"/>
      <c r="J133" s="54" t="n"/>
      <c r="K133" s="54">
        <f>IF(AND(I133&lt;&gt;"",J133&lt;&gt;""),I133*J133,"")</f>
        <v/>
      </c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>
        <f>IF(T133&lt;&gt;"","Received",IF(AND(S133&lt;&gt;"",S133&lt;TODAY()),"⚠ Overdue","On Track"))</f>
        <v/>
      </c>
      <c r="V133" s="57" t="n"/>
    </row>
    <row r="134" ht="18" customHeight="1">
      <c r="A134" s="28">
        <f>IF(B134&lt;&gt;"",ROW()-2,"")</f>
        <v/>
      </c>
      <c r="B134" s="55" t="n"/>
      <c r="C134" s="55" t="n"/>
      <c r="D134" s="55" t="n"/>
      <c r="E134" s="55" t="n"/>
      <c r="F134" s="56">
        <f>IF(AND(D134&lt;&gt;"",E134&lt;&gt;""),E134-D134,"")</f>
        <v/>
      </c>
      <c r="G134" s="55" t="n"/>
      <c r="H134" s="55" t="n"/>
      <c r="I134" s="28" t="n"/>
      <c r="J134" s="52" t="n"/>
      <c r="K134" s="52">
        <f>IF(AND(I134&lt;&gt;"",J134&lt;&gt;""),I134*J134,"")</f>
        <v/>
      </c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>
        <f>IF(T134&lt;&gt;"","Received",IF(AND(S134&lt;&gt;"",S134&lt;TODAY()),"⚠ Overdue","On Track"))</f>
        <v/>
      </c>
      <c r="V134" s="55" t="n"/>
    </row>
    <row r="135" ht="18" customHeight="1">
      <c r="A135" s="34">
        <f>IF(B135&lt;&gt;"",ROW()-2,"")</f>
        <v/>
      </c>
      <c r="B135" s="57" t="n"/>
      <c r="C135" s="57" t="n"/>
      <c r="D135" s="57" t="n"/>
      <c r="E135" s="57" t="n"/>
      <c r="F135" s="58">
        <f>IF(AND(D135&lt;&gt;"",E135&lt;&gt;""),E135-D135,"")</f>
        <v/>
      </c>
      <c r="G135" s="57" t="n"/>
      <c r="H135" s="57" t="n"/>
      <c r="I135" s="34" t="n"/>
      <c r="J135" s="54" t="n"/>
      <c r="K135" s="54">
        <f>IF(AND(I135&lt;&gt;"",J135&lt;&gt;""),I135*J135,"")</f>
        <v/>
      </c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>
        <f>IF(T135&lt;&gt;"","Received",IF(AND(S135&lt;&gt;"",S135&lt;TODAY()),"⚠ Overdue","On Track"))</f>
        <v/>
      </c>
      <c r="V135" s="57" t="n"/>
    </row>
    <row r="136" ht="18" customHeight="1">
      <c r="A136" s="28">
        <f>IF(B136&lt;&gt;"",ROW()-2,"")</f>
        <v/>
      </c>
      <c r="B136" s="55" t="n"/>
      <c r="C136" s="55" t="n"/>
      <c r="D136" s="55" t="n"/>
      <c r="E136" s="55" t="n"/>
      <c r="F136" s="56">
        <f>IF(AND(D136&lt;&gt;"",E136&lt;&gt;""),E136-D136,"")</f>
        <v/>
      </c>
      <c r="G136" s="55" t="n"/>
      <c r="H136" s="55" t="n"/>
      <c r="I136" s="28" t="n"/>
      <c r="J136" s="52" t="n"/>
      <c r="K136" s="52">
        <f>IF(AND(I136&lt;&gt;"",J136&lt;&gt;""),I136*J136,"")</f>
        <v/>
      </c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>
        <f>IF(T136&lt;&gt;"","Received",IF(AND(S136&lt;&gt;"",S136&lt;TODAY()),"⚠ Overdue","On Track"))</f>
        <v/>
      </c>
      <c r="V136" s="55" t="n"/>
    </row>
    <row r="137" ht="18" customHeight="1">
      <c r="A137" s="34">
        <f>IF(B137&lt;&gt;"",ROW()-2,"")</f>
        <v/>
      </c>
      <c r="B137" s="57" t="n"/>
      <c r="C137" s="57" t="n"/>
      <c r="D137" s="57" t="n"/>
      <c r="E137" s="57" t="n"/>
      <c r="F137" s="58">
        <f>IF(AND(D137&lt;&gt;"",E137&lt;&gt;""),E137-D137,"")</f>
        <v/>
      </c>
      <c r="G137" s="57" t="n"/>
      <c r="H137" s="57" t="n"/>
      <c r="I137" s="34" t="n"/>
      <c r="J137" s="54" t="n"/>
      <c r="K137" s="54">
        <f>IF(AND(I137&lt;&gt;"",J137&lt;&gt;""),I137*J137,"")</f>
        <v/>
      </c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>
        <f>IF(T137&lt;&gt;"","Received",IF(AND(S137&lt;&gt;"",S137&lt;TODAY()),"⚠ Overdue","On Track"))</f>
        <v/>
      </c>
      <c r="V137" s="57" t="n"/>
    </row>
    <row r="138" ht="18" customHeight="1">
      <c r="A138" s="28">
        <f>IF(B138&lt;&gt;"",ROW()-2,"")</f>
        <v/>
      </c>
      <c r="B138" s="55" t="n"/>
      <c r="C138" s="55" t="n"/>
      <c r="D138" s="55" t="n"/>
      <c r="E138" s="55" t="n"/>
      <c r="F138" s="56">
        <f>IF(AND(D138&lt;&gt;"",E138&lt;&gt;""),E138-D138,"")</f>
        <v/>
      </c>
      <c r="G138" s="55" t="n"/>
      <c r="H138" s="55" t="n"/>
      <c r="I138" s="28" t="n"/>
      <c r="J138" s="52" t="n"/>
      <c r="K138" s="52">
        <f>IF(AND(I138&lt;&gt;"",J138&lt;&gt;""),I138*J138,"")</f>
        <v/>
      </c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>
        <f>IF(T138&lt;&gt;"","Received",IF(AND(S138&lt;&gt;"",S138&lt;TODAY()),"⚠ Overdue","On Track"))</f>
        <v/>
      </c>
      <c r="V138" s="55" t="n"/>
    </row>
    <row r="139" ht="18" customHeight="1">
      <c r="A139" s="34">
        <f>IF(B139&lt;&gt;"",ROW()-2,"")</f>
        <v/>
      </c>
      <c r="B139" s="57" t="n"/>
      <c r="C139" s="57" t="n"/>
      <c r="D139" s="57" t="n"/>
      <c r="E139" s="57" t="n"/>
      <c r="F139" s="58">
        <f>IF(AND(D139&lt;&gt;"",E139&lt;&gt;""),E139-D139,"")</f>
        <v/>
      </c>
      <c r="G139" s="57" t="n"/>
      <c r="H139" s="57" t="n"/>
      <c r="I139" s="34" t="n"/>
      <c r="J139" s="54" t="n"/>
      <c r="K139" s="54">
        <f>IF(AND(I139&lt;&gt;"",J139&lt;&gt;""),I139*J139,"")</f>
        <v/>
      </c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>
        <f>IF(T139&lt;&gt;"","Received",IF(AND(S139&lt;&gt;"",S139&lt;TODAY()),"⚠ Overdue","On Track"))</f>
        <v/>
      </c>
      <c r="V139" s="57" t="n"/>
    </row>
    <row r="140" ht="18" customHeight="1">
      <c r="A140" s="28">
        <f>IF(B140&lt;&gt;"",ROW()-2,"")</f>
        <v/>
      </c>
      <c r="B140" s="55" t="n"/>
      <c r="C140" s="55" t="n"/>
      <c r="D140" s="55" t="n"/>
      <c r="E140" s="55" t="n"/>
      <c r="F140" s="56">
        <f>IF(AND(D140&lt;&gt;"",E140&lt;&gt;""),E140-D140,"")</f>
        <v/>
      </c>
      <c r="G140" s="55" t="n"/>
      <c r="H140" s="55" t="n"/>
      <c r="I140" s="28" t="n"/>
      <c r="J140" s="52" t="n"/>
      <c r="K140" s="52">
        <f>IF(AND(I140&lt;&gt;"",J140&lt;&gt;""),I140*J140,"")</f>
        <v/>
      </c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>
        <f>IF(T140&lt;&gt;"","Received",IF(AND(S140&lt;&gt;"",S140&lt;TODAY()),"⚠ Overdue","On Track"))</f>
        <v/>
      </c>
      <c r="V140" s="55" t="n"/>
    </row>
    <row r="141" ht="18" customHeight="1">
      <c r="A141" s="34">
        <f>IF(B141&lt;&gt;"",ROW()-2,"")</f>
        <v/>
      </c>
      <c r="B141" s="57" t="n"/>
      <c r="C141" s="57" t="n"/>
      <c r="D141" s="57" t="n"/>
      <c r="E141" s="57" t="n"/>
      <c r="F141" s="58">
        <f>IF(AND(D141&lt;&gt;"",E141&lt;&gt;""),E141-D141,"")</f>
        <v/>
      </c>
      <c r="G141" s="57" t="n"/>
      <c r="H141" s="57" t="n"/>
      <c r="I141" s="34" t="n"/>
      <c r="J141" s="54" t="n"/>
      <c r="K141" s="54">
        <f>IF(AND(I141&lt;&gt;"",J141&lt;&gt;""),I141*J141,"")</f>
        <v/>
      </c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>
        <f>IF(T141&lt;&gt;"","Received",IF(AND(S141&lt;&gt;"",S141&lt;TODAY()),"⚠ Overdue","On Track"))</f>
        <v/>
      </c>
      <c r="V141" s="57" t="n"/>
    </row>
    <row r="142" ht="18" customHeight="1">
      <c r="A142" s="28">
        <f>IF(B142&lt;&gt;"",ROW()-2,"")</f>
        <v/>
      </c>
      <c r="B142" s="55" t="n"/>
      <c r="C142" s="55" t="n"/>
      <c r="D142" s="55" t="n"/>
      <c r="E142" s="55" t="n"/>
      <c r="F142" s="56">
        <f>IF(AND(D142&lt;&gt;"",E142&lt;&gt;""),E142-D142,"")</f>
        <v/>
      </c>
      <c r="G142" s="55" t="n"/>
      <c r="H142" s="55" t="n"/>
      <c r="I142" s="28" t="n"/>
      <c r="J142" s="52" t="n"/>
      <c r="K142" s="52">
        <f>IF(AND(I142&lt;&gt;"",J142&lt;&gt;""),I142*J142,"")</f>
        <v/>
      </c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>
        <f>IF(T142&lt;&gt;"","Received",IF(AND(S142&lt;&gt;"",S142&lt;TODAY()),"⚠ Overdue","On Track"))</f>
        <v/>
      </c>
      <c r="V142" s="55" t="n"/>
    </row>
    <row r="143" ht="18" customHeight="1">
      <c r="A143" s="34">
        <f>IF(B143&lt;&gt;"",ROW()-2,"")</f>
        <v/>
      </c>
      <c r="B143" s="57" t="n"/>
      <c r="C143" s="57" t="n"/>
      <c r="D143" s="57" t="n"/>
      <c r="E143" s="57" t="n"/>
      <c r="F143" s="58">
        <f>IF(AND(D143&lt;&gt;"",E143&lt;&gt;""),E143-D143,"")</f>
        <v/>
      </c>
      <c r="G143" s="57" t="n"/>
      <c r="H143" s="57" t="n"/>
      <c r="I143" s="34" t="n"/>
      <c r="J143" s="54" t="n"/>
      <c r="K143" s="54">
        <f>IF(AND(I143&lt;&gt;"",J143&lt;&gt;""),I143*J143,"")</f>
        <v/>
      </c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>
        <f>IF(T143&lt;&gt;"","Received",IF(AND(S143&lt;&gt;"",S143&lt;TODAY()),"⚠ Overdue","On Track"))</f>
        <v/>
      </c>
      <c r="V143" s="57" t="n"/>
    </row>
    <row r="144" ht="18" customHeight="1">
      <c r="A144" s="28">
        <f>IF(B144&lt;&gt;"",ROW()-2,"")</f>
        <v/>
      </c>
      <c r="B144" s="55" t="n"/>
      <c r="C144" s="55" t="n"/>
      <c r="D144" s="55" t="n"/>
      <c r="E144" s="55" t="n"/>
      <c r="F144" s="56">
        <f>IF(AND(D144&lt;&gt;"",E144&lt;&gt;""),E144-D144,"")</f>
        <v/>
      </c>
      <c r="G144" s="55" t="n"/>
      <c r="H144" s="55" t="n"/>
      <c r="I144" s="28" t="n"/>
      <c r="J144" s="52" t="n"/>
      <c r="K144" s="52">
        <f>IF(AND(I144&lt;&gt;"",J144&lt;&gt;""),I144*J144,"")</f>
        <v/>
      </c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>
        <f>IF(T144&lt;&gt;"","Received",IF(AND(S144&lt;&gt;"",S144&lt;TODAY()),"⚠ Overdue","On Track"))</f>
        <v/>
      </c>
      <c r="V144" s="55" t="n"/>
    </row>
    <row r="145" ht="18" customHeight="1">
      <c r="A145" s="34">
        <f>IF(B145&lt;&gt;"",ROW()-2,"")</f>
        <v/>
      </c>
      <c r="B145" s="57" t="n"/>
      <c r="C145" s="57" t="n"/>
      <c r="D145" s="57" t="n"/>
      <c r="E145" s="57" t="n"/>
      <c r="F145" s="58">
        <f>IF(AND(D145&lt;&gt;"",E145&lt;&gt;""),E145-D145,"")</f>
        <v/>
      </c>
      <c r="G145" s="57" t="n"/>
      <c r="H145" s="57" t="n"/>
      <c r="I145" s="34" t="n"/>
      <c r="J145" s="54" t="n"/>
      <c r="K145" s="54">
        <f>IF(AND(I145&lt;&gt;"",J145&lt;&gt;""),I145*J145,"")</f>
        <v/>
      </c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>
        <f>IF(T145&lt;&gt;"","Received",IF(AND(S145&lt;&gt;"",S145&lt;TODAY()),"⚠ Overdue","On Track"))</f>
        <v/>
      </c>
      <c r="V145" s="57" t="n"/>
    </row>
    <row r="146" ht="18" customHeight="1">
      <c r="A146" s="28">
        <f>IF(B146&lt;&gt;"",ROW()-2,"")</f>
        <v/>
      </c>
      <c r="B146" s="55" t="n"/>
      <c r="C146" s="55" t="n"/>
      <c r="D146" s="55" t="n"/>
      <c r="E146" s="55" t="n"/>
      <c r="F146" s="56">
        <f>IF(AND(D146&lt;&gt;"",E146&lt;&gt;""),E146-D146,"")</f>
        <v/>
      </c>
      <c r="G146" s="55" t="n"/>
      <c r="H146" s="55" t="n"/>
      <c r="I146" s="28" t="n"/>
      <c r="J146" s="52" t="n"/>
      <c r="K146" s="52">
        <f>IF(AND(I146&lt;&gt;"",J146&lt;&gt;""),I146*J146,"")</f>
        <v/>
      </c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>
        <f>IF(T146&lt;&gt;"","Received",IF(AND(S146&lt;&gt;"",S146&lt;TODAY()),"⚠ Overdue","On Track"))</f>
        <v/>
      </c>
      <c r="V146" s="55" t="n"/>
    </row>
    <row r="147" ht="18" customHeight="1">
      <c r="A147" s="34">
        <f>IF(B147&lt;&gt;"",ROW()-2,"")</f>
        <v/>
      </c>
      <c r="B147" s="57" t="n"/>
      <c r="C147" s="57" t="n"/>
      <c r="D147" s="57" t="n"/>
      <c r="E147" s="57" t="n"/>
      <c r="F147" s="58">
        <f>IF(AND(D147&lt;&gt;"",E147&lt;&gt;""),E147-D147,"")</f>
        <v/>
      </c>
      <c r="G147" s="57" t="n"/>
      <c r="H147" s="57" t="n"/>
      <c r="I147" s="34" t="n"/>
      <c r="J147" s="54" t="n"/>
      <c r="K147" s="54">
        <f>IF(AND(I147&lt;&gt;"",J147&lt;&gt;""),I147*J147,"")</f>
        <v/>
      </c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>
        <f>IF(T147&lt;&gt;"","Received",IF(AND(S147&lt;&gt;"",S147&lt;TODAY()),"⚠ Overdue","On Track"))</f>
        <v/>
      </c>
      <c r="V147" s="57" t="n"/>
    </row>
    <row r="148" ht="18" customHeight="1">
      <c r="A148" s="28">
        <f>IF(B148&lt;&gt;"",ROW()-2,"")</f>
        <v/>
      </c>
      <c r="B148" s="55" t="n"/>
      <c r="C148" s="55" t="n"/>
      <c r="D148" s="55" t="n"/>
      <c r="E148" s="55" t="n"/>
      <c r="F148" s="56">
        <f>IF(AND(D148&lt;&gt;"",E148&lt;&gt;""),E148-D148,"")</f>
        <v/>
      </c>
      <c r="G148" s="55" t="n"/>
      <c r="H148" s="55" t="n"/>
      <c r="I148" s="28" t="n"/>
      <c r="J148" s="52" t="n"/>
      <c r="K148" s="52">
        <f>IF(AND(I148&lt;&gt;"",J148&lt;&gt;""),I148*J148,"")</f>
        <v/>
      </c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>
        <f>IF(T148&lt;&gt;"","Received",IF(AND(S148&lt;&gt;"",S148&lt;TODAY()),"⚠ Overdue","On Track"))</f>
        <v/>
      </c>
      <c r="V148" s="55" t="n"/>
    </row>
    <row r="149" ht="18" customHeight="1">
      <c r="A149" s="34">
        <f>IF(B149&lt;&gt;"",ROW()-2,"")</f>
        <v/>
      </c>
      <c r="B149" s="57" t="n"/>
      <c r="C149" s="57" t="n"/>
      <c r="D149" s="57" t="n"/>
      <c r="E149" s="57" t="n"/>
      <c r="F149" s="58">
        <f>IF(AND(D149&lt;&gt;"",E149&lt;&gt;""),E149-D149,"")</f>
        <v/>
      </c>
      <c r="G149" s="57" t="n"/>
      <c r="H149" s="57" t="n"/>
      <c r="I149" s="34" t="n"/>
      <c r="J149" s="54" t="n"/>
      <c r="K149" s="54">
        <f>IF(AND(I149&lt;&gt;"",J149&lt;&gt;""),I149*J149,"")</f>
        <v/>
      </c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>
        <f>IF(T149&lt;&gt;"","Received",IF(AND(S149&lt;&gt;"",S149&lt;TODAY()),"⚠ Overdue","On Track"))</f>
        <v/>
      </c>
      <c r="V149" s="57" t="n"/>
    </row>
    <row r="150" ht="18" customHeight="1">
      <c r="A150" s="28">
        <f>IF(B150&lt;&gt;"",ROW()-2,"")</f>
        <v/>
      </c>
      <c r="B150" s="55" t="n"/>
      <c r="C150" s="55" t="n"/>
      <c r="D150" s="55" t="n"/>
      <c r="E150" s="55" t="n"/>
      <c r="F150" s="56">
        <f>IF(AND(D150&lt;&gt;"",E150&lt;&gt;""),E150-D150,"")</f>
        <v/>
      </c>
      <c r="G150" s="55" t="n"/>
      <c r="H150" s="55" t="n"/>
      <c r="I150" s="28" t="n"/>
      <c r="J150" s="52" t="n"/>
      <c r="K150" s="52">
        <f>IF(AND(I150&lt;&gt;"",J150&lt;&gt;""),I150*J150,"")</f>
        <v/>
      </c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>
        <f>IF(T150&lt;&gt;"","Received",IF(AND(S150&lt;&gt;"",S150&lt;TODAY()),"⚠ Overdue","On Track"))</f>
        <v/>
      </c>
      <c r="V150" s="55" t="n"/>
    </row>
    <row r="151" ht="18" customHeight="1">
      <c r="A151" s="34">
        <f>IF(B151&lt;&gt;"",ROW()-2,"")</f>
        <v/>
      </c>
      <c r="B151" s="57" t="n"/>
      <c r="C151" s="57" t="n"/>
      <c r="D151" s="57" t="n"/>
      <c r="E151" s="57" t="n"/>
      <c r="F151" s="58">
        <f>IF(AND(D151&lt;&gt;"",E151&lt;&gt;""),E151-D151,"")</f>
        <v/>
      </c>
      <c r="G151" s="57" t="n"/>
      <c r="H151" s="57" t="n"/>
      <c r="I151" s="34" t="n"/>
      <c r="J151" s="54" t="n"/>
      <c r="K151" s="54">
        <f>IF(AND(I151&lt;&gt;"",J151&lt;&gt;""),I151*J151,"")</f>
        <v/>
      </c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>
        <f>IF(T151&lt;&gt;"","Received",IF(AND(S151&lt;&gt;"",S151&lt;TODAY()),"⚠ Overdue","On Track"))</f>
        <v/>
      </c>
      <c r="V151" s="57" t="n"/>
    </row>
    <row r="152" ht="18" customHeight="1">
      <c r="A152" s="28">
        <f>IF(B152&lt;&gt;"",ROW()-2,"")</f>
        <v/>
      </c>
      <c r="B152" s="55" t="n"/>
      <c r="C152" s="55" t="n"/>
      <c r="D152" s="55" t="n"/>
      <c r="E152" s="55" t="n"/>
      <c r="F152" s="56">
        <f>IF(AND(D152&lt;&gt;"",E152&lt;&gt;""),E152-D152,"")</f>
        <v/>
      </c>
      <c r="G152" s="55" t="n"/>
      <c r="H152" s="55" t="n"/>
      <c r="I152" s="28" t="n"/>
      <c r="J152" s="52" t="n"/>
      <c r="K152" s="52">
        <f>IF(AND(I152&lt;&gt;"",J152&lt;&gt;""),I152*J152,"")</f>
        <v/>
      </c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>
        <f>IF(T152&lt;&gt;"","Received",IF(AND(S152&lt;&gt;"",S152&lt;TODAY()),"⚠ Overdue","On Track"))</f>
        <v/>
      </c>
      <c r="V152" s="55" t="n"/>
    </row>
    <row r="153" ht="18" customHeight="1">
      <c r="A153" s="34">
        <f>IF(B153&lt;&gt;"",ROW()-2,"")</f>
        <v/>
      </c>
      <c r="B153" s="57" t="n"/>
      <c r="C153" s="57" t="n"/>
      <c r="D153" s="57" t="n"/>
      <c r="E153" s="57" t="n"/>
      <c r="F153" s="58">
        <f>IF(AND(D153&lt;&gt;"",E153&lt;&gt;""),E153-D153,"")</f>
        <v/>
      </c>
      <c r="G153" s="57" t="n"/>
      <c r="H153" s="57" t="n"/>
      <c r="I153" s="34" t="n"/>
      <c r="J153" s="54" t="n"/>
      <c r="K153" s="54">
        <f>IF(AND(I153&lt;&gt;"",J153&lt;&gt;""),I153*J153,"")</f>
        <v/>
      </c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>
        <f>IF(T153&lt;&gt;"","Received",IF(AND(S153&lt;&gt;"",S153&lt;TODAY()),"⚠ Overdue","On Track"))</f>
        <v/>
      </c>
      <c r="V153" s="57" t="n"/>
    </row>
    <row r="155" ht="28" customHeight="1">
      <c r="A155" s="43" t="inlineStr">
        <is>
          <t>HOW TO USE:  Row 3 is an example (yellow). Data rows 4–123 populated from first import batch.  Columns F, K, U are calculated — do not edit.  Amber cost = &gt;$500.  See Job Summary tab for per-job totals.  Add BOM Release Date (col D) and Addition Date (col E) when known.</t>
        </is>
      </c>
    </row>
  </sheetData>
  <mergeCells count="1">
    <mergeCell ref="A155:V155"/>
  </mergeCells>
  <conditionalFormatting sqref="U3:U53">
    <cfRule type="containsText" priority="1" operator="containsText" dxfId="0" text="Overdue">
      <formula>NOT(ISERROR(SEARCH("Overdue",U3)))</formula>
    </cfRule>
    <cfRule type="containsText" priority="2" operator="containsText" dxfId="1" text="Received">
      <formula>NOT(ISERROR(SEARCH("Received",U3)))</formula>
    </cfRule>
  </conditionalFormatting>
  <conditionalFormatting sqref="K3:K53">
    <cfRule type="cellIs" priority="3" operator="greaterThan" dxfId="2">
      <formula>500</formula>
    </cfRule>
  </conditionalFormatting>
  <dataValidations count="2">
    <dataValidation sqref="L3:L153" showDropDown="0" showInputMessage="0" showErrorMessage="1" allowBlank="1" errorTitle="Invalid Reason" error="Please select from the list." type="list">
      <formula1>'Reference'!$A$2:$A$8</formula1>
    </dataValidation>
    <dataValidation sqref="O3:O153" showDropDown="0" showInputMessage="0" showErrorMessage="1" allowBlank="1" errorTitle="Invalid Status" error="Please select from the list." type="list">
      <formula1>'Reference'!$B$2:$B$7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24" customWidth="1" min="9" max="9"/>
  </cols>
  <sheetData>
    <row r="1" ht="36" customHeight="1">
      <c r="A1" s="21" t="inlineStr">
        <is>
          <t>Job Summary — BOM Post-Release Additions</t>
        </is>
      </c>
      <c r="H1" s="22" t="inlineStr">
        <is>
          <t>Auto-calculated</t>
        </is>
      </c>
    </row>
    <row r="2" ht="36" customHeight="1">
      <c r="A2" s="3" t="inlineStr">
        <is>
          <t>Job No.</t>
        </is>
      </c>
      <c r="B2" s="3" t="inlineStr">
        <is>
          <t>Job Description</t>
        </is>
      </c>
      <c r="C2" s="3" t="inlineStr">
        <is>
          <t>BOM Release Date</t>
        </is>
      </c>
      <c r="D2" s="3" t="inlineStr">
        <is>
          <t># Additions</t>
        </is>
      </c>
      <c r="E2" s="3" t="inlineStr">
        <is>
          <t>Total Cost Impact</t>
        </is>
      </c>
      <c r="F2" s="3" t="inlineStr">
        <is>
          <t>Items Pending</t>
        </is>
      </c>
      <c r="G2" s="3" t="inlineStr">
        <is>
          <t>Items Ordered</t>
        </is>
      </c>
      <c r="H2" s="3" t="inlineStr">
        <is>
          <t>Items Received</t>
        </is>
      </c>
      <c r="I2" s="3" t="inlineStr">
        <is>
          <t>Notes</t>
        </is>
      </c>
    </row>
    <row r="3" ht="20" customHeight="1">
      <c r="A3" s="23" t="inlineStr">
        <is>
          <t>801253</t>
        </is>
      </c>
      <c r="B3" s="24" t="inlineStr">
        <is>
          <t>Aviation Refueller — Unit A</t>
        </is>
      </c>
      <c r="C3" s="51" t="n">
        <v>46217</v>
      </c>
      <c r="D3" s="26">
        <f>COUNTIF('BOM Additions'!B$4:B$153,A3)</f>
        <v/>
      </c>
      <c r="E3" s="59">
        <f>SUMIF('BOM Additions'!B$4:B$153,A3,'BOM Additions'!K$4:K$153)</f>
        <v/>
      </c>
      <c r="F3" s="28">
        <f>COUNTIFS('BOM Additions'!B$4:B$153,A3,'BOM Additions'!O$4:O$153,"Pending")</f>
        <v/>
      </c>
      <c r="G3" s="28">
        <f>COUNTIFS('BOM Additions'!B$4:B$153,A3,'BOM Additions'!O$4:O$153,"PO Raised")+COUNTIFS('BOM Additions'!B$4:B$153,A3,'BOM Additions'!O$4:O$153,"Ordered")</f>
        <v/>
      </c>
      <c r="H3" s="28">
        <f>COUNTIFS('BOM Additions'!B$4:B$153,A3,'BOM Additions'!O$4:O$153,"Complete")</f>
        <v/>
      </c>
      <c r="I3" s="24" t="inlineStr"/>
    </row>
    <row r="4" ht="20" customHeight="1">
      <c r="A4" s="29" t="inlineStr">
        <is>
          <t>801254</t>
        </is>
      </c>
      <c r="B4" s="30" t="inlineStr">
        <is>
          <t>Aviation Refueller Mk4</t>
        </is>
      </c>
      <c r="C4" s="53" t="n">
        <v>46231</v>
      </c>
      <c r="D4" s="32">
        <f>COUNTIF('BOM Additions'!B$4:B$153,A4)</f>
        <v/>
      </c>
      <c r="E4" s="60">
        <f>SUMIF('BOM Additions'!B$4:B$153,A4,'BOM Additions'!K$4:K$153)</f>
        <v/>
      </c>
      <c r="F4" s="34">
        <f>COUNTIFS('BOM Additions'!B$4:B$153,A4,'BOM Additions'!O$4:O$153,"Pending")</f>
        <v/>
      </c>
      <c r="G4" s="34">
        <f>COUNTIFS('BOM Additions'!B$4:B$153,A4,'BOM Additions'!O$4:O$153,"PO Raised")+COUNTIFS('BOM Additions'!B$4:B$153,A4,'BOM Additions'!O$4:O$153,"Ordered")</f>
        <v/>
      </c>
      <c r="H4" s="34">
        <f>COUNTIFS('BOM Additions'!B$4:B$153,A4,'BOM Additions'!O$4:O$153,"Complete")</f>
        <v/>
      </c>
      <c r="I4" s="30" t="inlineStr"/>
    </row>
    <row r="5" ht="20" customHeight="1">
      <c r="A5" s="23" t="inlineStr">
        <is>
          <t>801256</t>
        </is>
      </c>
      <c r="B5" s="24" t="inlineStr">
        <is>
          <t>Fuel Tanker — Rear Config</t>
        </is>
      </c>
      <c r="C5" s="51" t="n">
        <v>46224</v>
      </c>
      <c r="D5" s="26">
        <f>COUNTIF('BOM Additions'!B$4:B$153,A5)</f>
        <v/>
      </c>
      <c r="E5" s="59">
        <f>SUMIF('BOM Additions'!B$4:B$153,A5,'BOM Additions'!K$4:K$153)</f>
        <v/>
      </c>
      <c r="F5" s="28">
        <f>COUNTIFS('BOM Additions'!B$4:B$153,A5,'BOM Additions'!O$4:O$153,"Pending")</f>
        <v/>
      </c>
      <c r="G5" s="28">
        <f>COUNTIFS('BOM Additions'!B$4:B$153,A5,'BOM Additions'!O$4:O$153,"PO Raised")+COUNTIFS('BOM Additions'!B$4:B$153,A5,'BOM Additions'!O$4:O$153,"Ordered")</f>
        <v/>
      </c>
      <c r="H5" s="28">
        <f>COUNTIFS('BOM Additions'!B$4:B$153,A5,'BOM Additions'!O$4:O$153,"Complete")</f>
        <v/>
      </c>
      <c r="I5" s="24" t="inlineStr"/>
    </row>
    <row r="6" ht="20" customHeight="1">
      <c r="A6" s="29" t="inlineStr">
        <is>
          <t>801257</t>
        </is>
      </c>
      <c r="B6" s="30" t="inlineStr">
        <is>
          <t>Fuel Tanker — Std Config</t>
        </is>
      </c>
      <c r="C6" s="53" t="n">
        <v>46224</v>
      </c>
      <c r="D6" s="32">
        <f>COUNTIF('BOM Additions'!B$4:B$153,A6)</f>
        <v/>
      </c>
      <c r="E6" s="60">
        <f>SUMIF('BOM Additions'!B$4:B$153,A6,'BOM Additions'!K$4:K$153)</f>
        <v/>
      </c>
      <c r="F6" s="34">
        <f>COUNTIFS('BOM Additions'!B$4:B$153,A6,'BOM Additions'!O$4:O$153,"Pending")</f>
        <v/>
      </c>
      <c r="G6" s="34">
        <f>COUNTIFS('BOM Additions'!B$4:B$153,A6,'BOM Additions'!O$4:O$153,"PO Raised")+COUNTIFS('BOM Additions'!B$4:B$153,A6,'BOM Additions'!O$4:O$153,"Ordered")</f>
        <v/>
      </c>
      <c r="H6" s="34">
        <f>COUNTIFS('BOM Additions'!B$4:B$153,A6,'BOM Additions'!O$4:O$153,"Complete")</f>
        <v/>
      </c>
      <c r="I6" s="30" t="inlineStr"/>
    </row>
    <row r="7" ht="20" customHeight="1">
      <c r="A7" s="23" t="inlineStr">
        <is>
          <t>801258</t>
        </is>
      </c>
      <c r="B7" s="24" t="inlineStr">
        <is>
          <t>Aviation Refueller — Unit B</t>
        </is>
      </c>
      <c r="C7" s="51" t="n">
        <v>46231</v>
      </c>
      <c r="D7" s="26">
        <f>COUNTIF('BOM Additions'!B$4:B$153,A7)</f>
        <v/>
      </c>
      <c r="E7" s="59">
        <f>SUMIF('BOM Additions'!B$4:B$153,A7,'BOM Additions'!K$4:K$153)</f>
        <v/>
      </c>
      <c r="F7" s="28">
        <f>COUNTIFS('BOM Additions'!B$4:B$153,A7,'BOM Additions'!O$4:O$153,"Pending")</f>
        <v/>
      </c>
      <c r="G7" s="28">
        <f>COUNTIFS('BOM Additions'!B$4:B$153,A7,'BOM Additions'!O$4:O$153,"PO Raised")+COUNTIFS('BOM Additions'!B$4:B$153,A7,'BOM Additions'!O$4:O$153,"Ordered")</f>
        <v/>
      </c>
      <c r="H7" s="28">
        <f>COUNTIFS('BOM Additions'!B$4:B$153,A7,'BOM Additions'!O$4:O$153,"Complete")</f>
        <v/>
      </c>
      <c r="I7" s="24" t="inlineStr"/>
    </row>
    <row r="8" ht="20" customHeight="1">
      <c r="A8" s="29" t="inlineStr">
        <is>
          <t>801215</t>
        </is>
      </c>
      <c r="B8" s="30" t="inlineStr"/>
      <c r="C8" s="53" t="n"/>
      <c r="D8" s="32">
        <f>COUNTIF('BOM Additions'!B$4:B$153,A8)</f>
        <v/>
      </c>
      <c r="E8" s="60">
        <f>SUMIF('BOM Additions'!B$4:B$153,A8,'BOM Additions'!K$4:K$153)</f>
        <v/>
      </c>
      <c r="F8" s="34">
        <f>COUNTIFS('BOM Additions'!B$4:B$153,A8,'BOM Additions'!O$4:O$153,"Pending")</f>
        <v/>
      </c>
      <c r="G8" s="34">
        <f>COUNTIFS('BOM Additions'!B$4:B$153,A8,'BOM Additions'!O$4:O$153,"PO Raised")+COUNTIFS('BOM Additions'!B$4:B$153,A8,'BOM Additions'!O$4:O$153,"Ordered")</f>
        <v/>
      </c>
      <c r="H8" s="34">
        <f>COUNTIFS('BOM Additions'!B$4:B$153,A8,'BOM Additions'!O$4:O$153,"Complete")</f>
        <v/>
      </c>
      <c r="I8" s="30" t="inlineStr"/>
    </row>
    <row r="9" ht="20" customHeight="1">
      <c r="A9" s="23" t="inlineStr">
        <is>
          <t>801216</t>
        </is>
      </c>
      <c r="B9" s="24" t="inlineStr"/>
      <c r="C9" s="51" t="n"/>
      <c r="D9" s="26">
        <f>COUNTIF('BOM Additions'!B$4:B$153,A9)</f>
        <v/>
      </c>
      <c r="E9" s="59">
        <f>SUMIF('BOM Additions'!B$4:B$153,A9,'BOM Additions'!K$4:K$153)</f>
        <v/>
      </c>
      <c r="F9" s="28">
        <f>COUNTIFS('BOM Additions'!B$4:B$153,A9,'BOM Additions'!O$4:O$153,"Pending")</f>
        <v/>
      </c>
      <c r="G9" s="28">
        <f>COUNTIFS('BOM Additions'!B$4:B$153,A9,'BOM Additions'!O$4:O$153,"PO Raised")+COUNTIFS('BOM Additions'!B$4:B$153,A9,'BOM Additions'!O$4:O$153,"Ordered")</f>
        <v/>
      </c>
      <c r="H9" s="28">
        <f>COUNTIFS('BOM Additions'!B$4:B$153,A9,'BOM Additions'!O$4:O$153,"Complete")</f>
        <v/>
      </c>
      <c r="I9" s="24" t="inlineStr"/>
    </row>
    <row r="10" ht="20" customHeight="1">
      <c r="A10" s="29" t="inlineStr">
        <is>
          <t>801217</t>
        </is>
      </c>
      <c r="B10" s="30" t="inlineStr"/>
      <c r="C10" s="53" t="n"/>
      <c r="D10" s="32">
        <f>COUNTIF('BOM Additions'!B$4:B$153,A10)</f>
        <v/>
      </c>
      <c r="E10" s="60">
        <f>SUMIF('BOM Additions'!B$4:B$153,A10,'BOM Additions'!K$4:K$153)</f>
        <v/>
      </c>
      <c r="F10" s="34">
        <f>COUNTIFS('BOM Additions'!B$4:B$153,A10,'BOM Additions'!O$4:O$153,"Pending")</f>
        <v/>
      </c>
      <c r="G10" s="34">
        <f>COUNTIFS('BOM Additions'!B$4:B$153,A10,'BOM Additions'!O$4:O$153,"PO Raised")+COUNTIFS('BOM Additions'!B$4:B$153,A10,'BOM Additions'!O$4:O$153,"Ordered")</f>
        <v/>
      </c>
      <c r="H10" s="34">
        <f>COUNTIFS('BOM Additions'!B$4:B$153,A10,'BOM Additions'!O$4:O$153,"Complete")</f>
        <v/>
      </c>
      <c r="I10" s="30" t="inlineStr"/>
    </row>
    <row r="11" ht="20" customHeight="1">
      <c r="A11" s="23" t="inlineStr">
        <is>
          <t>801218</t>
        </is>
      </c>
      <c r="B11" s="24" t="inlineStr"/>
      <c r="C11" s="51" t="n"/>
      <c r="D11" s="26">
        <f>COUNTIF('BOM Additions'!B$4:B$153,A11)</f>
        <v/>
      </c>
      <c r="E11" s="59">
        <f>SUMIF('BOM Additions'!B$4:B$153,A11,'BOM Additions'!K$4:K$153)</f>
        <v/>
      </c>
      <c r="F11" s="28">
        <f>COUNTIFS('BOM Additions'!B$4:B$153,A11,'BOM Additions'!O$4:O$153,"Pending")</f>
        <v/>
      </c>
      <c r="G11" s="28">
        <f>COUNTIFS('BOM Additions'!B$4:B$153,A11,'BOM Additions'!O$4:O$153,"PO Raised")+COUNTIFS('BOM Additions'!B$4:B$153,A11,'BOM Additions'!O$4:O$153,"Ordered")</f>
        <v/>
      </c>
      <c r="H11" s="28">
        <f>COUNTIFS('BOM Additions'!B$4:B$153,A11,'BOM Additions'!O$4:O$153,"Complete")</f>
        <v/>
      </c>
      <c r="I11" s="24" t="inlineStr"/>
    </row>
    <row r="12" ht="20" customHeight="1">
      <c r="A12" s="29" t="inlineStr">
        <is>
          <t>801219</t>
        </is>
      </c>
      <c r="B12" s="30" t="inlineStr"/>
      <c r="C12" s="53" t="n"/>
      <c r="D12" s="32">
        <f>COUNTIF('BOM Additions'!B$4:B$153,A12)</f>
        <v/>
      </c>
      <c r="E12" s="60">
        <f>SUMIF('BOM Additions'!B$4:B$153,A12,'BOM Additions'!K$4:K$153)</f>
        <v/>
      </c>
      <c r="F12" s="34">
        <f>COUNTIFS('BOM Additions'!B$4:B$153,A12,'BOM Additions'!O$4:O$153,"Pending")</f>
        <v/>
      </c>
      <c r="G12" s="34">
        <f>COUNTIFS('BOM Additions'!B$4:B$153,A12,'BOM Additions'!O$4:O$153,"PO Raised")+COUNTIFS('BOM Additions'!B$4:B$153,A12,'BOM Additions'!O$4:O$153,"Ordered")</f>
        <v/>
      </c>
      <c r="H12" s="34">
        <f>COUNTIFS('BOM Additions'!B$4:B$153,A12,'BOM Additions'!O$4:O$153,"Complete")</f>
        <v/>
      </c>
      <c r="I12" s="30" t="inlineStr"/>
    </row>
    <row r="13" ht="20" customHeight="1">
      <c r="A13" s="23" t="inlineStr">
        <is>
          <t>801235</t>
        </is>
      </c>
      <c r="B13" s="24" t="inlineStr"/>
      <c r="C13" s="51" t="n"/>
      <c r="D13" s="26">
        <f>COUNTIF('BOM Additions'!B$4:B$153,A13)</f>
        <v/>
      </c>
      <c r="E13" s="59">
        <f>SUMIF('BOM Additions'!B$4:B$153,A13,'BOM Additions'!K$4:K$153)</f>
        <v/>
      </c>
      <c r="F13" s="28">
        <f>COUNTIFS('BOM Additions'!B$4:B$153,A13,'BOM Additions'!O$4:O$153,"Pending")</f>
        <v/>
      </c>
      <c r="G13" s="28">
        <f>COUNTIFS('BOM Additions'!B$4:B$153,A13,'BOM Additions'!O$4:O$153,"PO Raised")+COUNTIFS('BOM Additions'!B$4:B$153,A13,'BOM Additions'!O$4:O$153,"Ordered")</f>
        <v/>
      </c>
      <c r="H13" s="28">
        <f>COUNTIFS('BOM Additions'!B$4:B$153,A13,'BOM Additions'!O$4:O$153,"Complete")</f>
        <v/>
      </c>
      <c r="I13" s="24" t="inlineStr"/>
    </row>
    <row r="14" ht="20" customHeight="1">
      <c r="A14" s="29" t="inlineStr">
        <is>
          <t>801236</t>
        </is>
      </c>
      <c r="B14" s="30" t="inlineStr"/>
      <c r="C14" s="53" t="n"/>
      <c r="D14" s="32">
        <f>COUNTIF('BOM Additions'!B$4:B$153,A14)</f>
        <v/>
      </c>
      <c r="E14" s="60">
        <f>SUMIF('BOM Additions'!B$4:B$153,A14,'BOM Additions'!K$4:K$153)</f>
        <v/>
      </c>
      <c r="F14" s="34">
        <f>COUNTIFS('BOM Additions'!B$4:B$153,A14,'BOM Additions'!O$4:O$153,"Pending")</f>
        <v/>
      </c>
      <c r="G14" s="34">
        <f>COUNTIFS('BOM Additions'!B$4:B$153,A14,'BOM Additions'!O$4:O$153,"PO Raised")+COUNTIFS('BOM Additions'!B$4:B$153,A14,'BOM Additions'!O$4:O$153,"Ordered")</f>
        <v/>
      </c>
      <c r="H14" s="34">
        <f>COUNTIFS('BOM Additions'!B$4:B$153,A14,'BOM Additions'!O$4:O$153,"Complete")</f>
        <v/>
      </c>
      <c r="I14" s="30" t="inlineStr"/>
    </row>
    <row r="15" ht="20" customHeight="1">
      <c r="A15" s="23" t="inlineStr">
        <is>
          <t>801237</t>
        </is>
      </c>
      <c r="B15" s="24" t="inlineStr"/>
      <c r="C15" s="51" t="n"/>
      <c r="D15" s="26">
        <f>COUNTIF('BOM Additions'!B$4:B$153,A15)</f>
        <v/>
      </c>
      <c r="E15" s="59">
        <f>SUMIF('BOM Additions'!B$4:B$153,A15,'BOM Additions'!K$4:K$153)</f>
        <v/>
      </c>
      <c r="F15" s="28">
        <f>COUNTIFS('BOM Additions'!B$4:B$153,A15,'BOM Additions'!O$4:O$153,"Pending")</f>
        <v/>
      </c>
      <c r="G15" s="28">
        <f>COUNTIFS('BOM Additions'!B$4:B$153,A15,'BOM Additions'!O$4:O$153,"PO Raised")+COUNTIFS('BOM Additions'!B$4:B$153,A15,'BOM Additions'!O$4:O$153,"Ordered")</f>
        <v/>
      </c>
      <c r="H15" s="28">
        <f>COUNTIFS('BOM Additions'!B$4:B$153,A15,'BOM Additions'!O$4:O$153,"Complete")</f>
        <v/>
      </c>
      <c r="I15" s="24" t="inlineStr"/>
    </row>
    <row r="16" ht="20" customHeight="1">
      <c r="A16" s="29" t="inlineStr">
        <is>
          <t>801238</t>
        </is>
      </c>
      <c r="B16" s="30" t="inlineStr"/>
      <c r="C16" s="53" t="n"/>
      <c r="D16" s="32">
        <f>COUNTIF('BOM Additions'!B$4:B$153,A16)</f>
        <v/>
      </c>
      <c r="E16" s="60">
        <f>SUMIF('BOM Additions'!B$4:B$153,A16,'BOM Additions'!K$4:K$153)</f>
        <v/>
      </c>
      <c r="F16" s="34">
        <f>COUNTIFS('BOM Additions'!B$4:B$153,A16,'BOM Additions'!O$4:O$153,"Pending")</f>
        <v/>
      </c>
      <c r="G16" s="34">
        <f>COUNTIFS('BOM Additions'!B$4:B$153,A16,'BOM Additions'!O$4:O$153,"PO Raised")+COUNTIFS('BOM Additions'!B$4:B$153,A16,'BOM Additions'!O$4:O$153,"Ordered")</f>
        <v/>
      </c>
      <c r="H16" s="34">
        <f>COUNTIFS('BOM Additions'!B$4:B$153,A16,'BOM Additions'!O$4:O$153,"Complete")</f>
        <v/>
      </c>
      <c r="I16" s="30" t="inlineStr"/>
    </row>
    <row r="17" ht="20" customHeight="1">
      <c r="A17" s="23" t="inlineStr">
        <is>
          <t>801239</t>
        </is>
      </c>
      <c r="B17" s="24" t="inlineStr"/>
      <c r="C17" s="51" t="n"/>
      <c r="D17" s="26">
        <f>COUNTIF('BOM Additions'!B$4:B$153,A17)</f>
        <v/>
      </c>
      <c r="E17" s="59">
        <f>SUMIF('BOM Additions'!B$4:B$153,A17,'BOM Additions'!K$4:K$153)</f>
        <v/>
      </c>
      <c r="F17" s="28">
        <f>COUNTIFS('BOM Additions'!B$4:B$153,A17,'BOM Additions'!O$4:O$153,"Pending")</f>
        <v/>
      </c>
      <c r="G17" s="28">
        <f>COUNTIFS('BOM Additions'!B$4:B$153,A17,'BOM Additions'!O$4:O$153,"PO Raised")+COUNTIFS('BOM Additions'!B$4:B$153,A17,'BOM Additions'!O$4:O$153,"Ordered")</f>
        <v/>
      </c>
      <c r="H17" s="28">
        <f>COUNTIFS('BOM Additions'!B$4:B$153,A17,'BOM Additions'!O$4:O$153,"Complete")</f>
        <v/>
      </c>
      <c r="I17" s="24" t="inlineStr"/>
    </row>
    <row r="18" ht="20" customHeight="1">
      <c r="A18" s="29" t="inlineStr">
        <is>
          <t>801240</t>
        </is>
      </c>
      <c r="B18" s="30" t="inlineStr"/>
      <c r="C18" s="53" t="n"/>
      <c r="D18" s="32">
        <f>COUNTIF('BOM Additions'!B$4:B$153,A18)</f>
        <v/>
      </c>
      <c r="E18" s="60">
        <f>SUMIF('BOM Additions'!B$4:B$153,A18,'BOM Additions'!K$4:K$153)</f>
        <v/>
      </c>
      <c r="F18" s="34">
        <f>COUNTIFS('BOM Additions'!B$4:B$153,A18,'BOM Additions'!O$4:O$153,"Pending")</f>
        <v/>
      </c>
      <c r="G18" s="34">
        <f>COUNTIFS('BOM Additions'!B$4:B$153,A18,'BOM Additions'!O$4:O$153,"PO Raised")+COUNTIFS('BOM Additions'!B$4:B$153,A18,'BOM Additions'!O$4:O$153,"Ordered")</f>
        <v/>
      </c>
      <c r="H18" s="34">
        <f>COUNTIFS('BOM Additions'!B$4:B$153,A18,'BOM Additions'!O$4:O$153,"Complete")</f>
        <v/>
      </c>
      <c r="I18" s="30" t="inlineStr"/>
    </row>
    <row r="19" ht="20" customHeight="1">
      <c r="A19" s="23" t="inlineStr">
        <is>
          <t>801241</t>
        </is>
      </c>
      <c r="B19" s="24" t="inlineStr"/>
      <c r="C19" s="51" t="n"/>
      <c r="D19" s="26">
        <f>COUNTIF('BOM Additions'!B$4:B$153,A19)</f>
        <v/>
      </c>
      <c r="E19" s="59">
        <f>SUMIF('BOM Additions'!B$4:B$153,A19,'BOM Additions'!K$4:K$153)</f>
        <v/>
      </c>
      <c r="F19" s="28">
        <f>COUNTIFS('BOM Additions'!B$4:B$153,A19,'BOM Additions'!O$4:O$153,"Pending")</f>
        <v/>
      </c>
      <c r="G19" s="28">
        <f>COUNTIFS('BOM Additions'!B$4:B$153,A19,'BOM Additions'!O$4:O$153,"PO Raised")+COUNTIFS('BOM Additions'!B$4:B$153,A19,'BOM Additions'!O$4:O$153,"Ordered")</f>
        <v/>
      </c>
      <c r="H19" s="28">
        <f>COUNTIFS('BOM Additions'!B$4:B$153,A19,'BOM Additions'!O$4:O$153,"Complete")</f>
        <v/>
      </c>
      <c r="I19" s="24" t="inlineStr"/>
    </row>
    <row r="20" ht="20" customHeight="1">
      <c r="A20" s="29" t="inlineStr">
        <is>
          <t>801252</t>
        </is>
      </c>
      <c r="B20" s="30" t="inlineStr"/>
      <c r="C20" s="53" t="n"/>
      <c r="D20" s="32">
        <f>COUNTIF('BOM Additions'!B$4:B$153,A20)</f>
        <v/>
      </c>
      <c r="E20" s="60">
        <f>SUMIF('BOM Additions'!B$4:B$153,A20,'BOM Additions'!K$4:K$153)</f>
        <v/>
      </c>
      <c r="F20" s="34">
        <f>COUNTIFS('BOM Additions'!B$4:B$153,A20,'BOM Additions'!O$4:O$153,"Pending")</f>
        <v/>
      </c>
      <c r="G20" s="34">
        <f>COUNTIFS('BOM Additions'!B$4:B$153,A20,'BOM Additions'!O$4:O$153,"PO Raised")+COUNTIFS('BOM Additions'!B$4:B$153,A20,'BOM Additions'!O$4:O$153,"Ordered")</f>
        <v/>
      </c>
      <c r="H20" s="34">
        <f>COUNTIFS('BOM Additions'!B$4:B$153,A20,'BOM Additions'!O$4:O$153,"Complete")</f>
        <v/>
      </c>
      <c r="I20" s="30" t="inlineStr"/>
    </row>
    <row r="21" ht="20" customHeight="1">
      <c r="A21" s="23" t="inlineStr">
        <is>
          <t>801255</t>
        </is>
      </c>
      <c r="B21" s="24" t="inlineStr"/>
      <c r="C21" s="51" t="n"/>
      <c r="D21" s="26">
        <f>COUNTIF('BOM Additions'!B$4:B$153,A21)</f>
        <v/>
      </c>
      <c r="E21" s="59">
        <f>SUMIF('BOM Additions'!B$4:B$153,A21,'BOM Additions'!K$4:K$153)</f>
        <v/>
      </c>
      <c r="F21" s="28">
        <f>COUNTIFS('BOM Additions'!B$4:B$153,A21,'BOM Additions'!O$4:O$153,"Pending")</f>
        <v/>
      </c>
      <c r="G21" s="28">
        <f>COUNTIFS('BOM Additions'!B$4:B$153,A21,'BOM Additions'!O$4:O$153,"PO Raised")+COUNTIFS('BOM Additions'!B$4:B$153,A21,'BOM Additions'!O$4:O$153,"Ordered")</f>
        <v/>
      </c>
      <c r="H21" s="28">
        <f>COUNTIFS('BOM Additions'!B$4:B$153,A21,'BOM Additions'!O$4:O$153,"Complete")</f>
        <v/>
      </c>
      <c r="I21" s="24" t="inlineStr"/>
    </row>
    <row r="22" ht="20" customHeight="1">
      <c r="A22" s="29" t="inlineStr">
        <is>
          <t>801259</t>
        </is>
      </c>
      <c r="B22" s="30" t="inlineStr"/>
      <c r="C22" s="53" t="n"/>
      <c r="D22" s="32">
        <f>COUNTIF('BOM Additions'!B$4:B$153,A22)</f>
        <v/>
      </c>
      <c r="E22" s="60">
        <f>SUMIF('BOM Additions'!B$4:B$153,A22,'BOM Additions'!K$4:K$153)</f>
        <v/>
      </c>
      <c r="F22" s="34">
        <f>COUNTIFS('BOM Additions'!B$4:B$153,A22,'BOM Additions'!O$4:O$153,"Pending")</f>
        <v/>
      </c>
      <c r="G22" s="34">
        <f>COUNTIFS('BOM Additions'!B$4:B$153,A22,'BOM Additions'!O$4:O$153,"PO Raised")+COUNTIFS('BOM Additions'!B$4:B$153,A22,'BOM Additions'!O$4:O$153,"Ordered")</f>
        <v/>
      </c>
      <c r="H22" s="34">
        <f>COUNTIFS('BOM Additions'!B$4:B$153,A22,'BOM Additions'!O$4:O$153,"Complete")</f>
        <v/>
      </c>
      <c r="I22" s="30" t="inlineStr"/>
    </row>
    <row r="23" ht="20" customHeight="1">
      <c r="A23" s="23" t="inlineStr">
        <is>
          <t>801260</t>
        </is>
      </c>
      <c r="B23" s="24" t="inlineStr"/>
      <c r="C23" s="51" t="n"/>
      <c r="D23" s="26">
        <f>COUNTIF('BOM Additions'!B$4:B$153,A23)</f>
        <v/>
      </c>
      <c r="E23" s="59">
        <f>SUMIF('BOM Additions'!B$4:B$153,A23,'BOM Additions'!K$4:K$153)</f>
        <v/>
      </c>
      <c r="F23" s="28">
        <f>COUNTIFS('BOM Additions'!B$4:B$153,A23,'BOM Additions'!O$4:O$153,"Pending")</f>
        <v/>
      </c>
      <c r="G23" s="28">
        <f>COUNTIFS('BOM Additions'!B$4:B$153,A23,'BOM Additions'!O$4:O$153,"PO Raised")+COUNTIFS('BOM Additions'!B$4:B$153,A23,'BOM Additions'!O$4:O$153,"Ordered")</f>
        <v/>
      </c>
      <c r="H23" s="28">
        <f>COUNTIFS('BOM Additions'!B$4:B$153,A23,'BOM Additions'!O$4:O$153,"Complete")</f>
        <v/>
      </c>
      <c r="I23" s="24" t="inlineStr"/>
    </row>
    <row r="24" ht="20" customHeight="1">
      <c r="A24" s="29" t="inlineStr">
        <is>
          <t>801267</t>
        </is>
      </c>
      <c r="B24" s="30" t="inlineStr"/>
      <c r="C24" s="53" t="n"/>
      <c r="D24" s="32">
        <f>COUNTIF('BOM Additions'!B$4:B$153,A24)</f>
        <v/>
      </c>
      <c r="E24" s="60">
        <f>SUMIF('BOM Additions'!B$4:B$153,A24,'BOM Additions'!K$4:K$153)</f>
        <v/>
      </c>
      <c r="F24" s="34">
        <f>COUNTIFS('BOM Additions'!B$4:B$153,A24,'BOM Additions'!O$4:O$153,"Pending")</f>
        <v/>
      </c>
      <c r="G24" s="34">
        <f>COUNTIFS('BOM Additions'!B$4:B$153,A24,'BOM Additions'!O$4:O$153,"PO Raised")+COUNTIFS('BOM Additions'!B$4:B$153,A24,'BOM Additions'!O$4:O$153,"Ordered")</f>
        <v/>
      </c>
      <c r="H24" s="34">
        <f>COUNTIFS('BOM Additions'!B$4:B$153,A24,'BOM Additions'!O$4:O$153,"Complete")</f>
        <v/>
      </c>
      <c r="I24" s="30" t="inlineStr"/>
    </row>
    <row r="25" ht="20" customHeight="1">
      <c r="A25" s="23" t="inlineStr">
        <is>
          <t>801269</t>
        </is>
      </c>
      <c r="B25" s="24" t="inlineStr"/>
      <c r="C25" s="51" t="n"/>
      <c r="D25" s="26">
        <f>COUNTIF('BOM Additions'!B$4:B$153,A25)</f>
        <v/>
      </c>
      <c r="E25" s="59">
        <f>SUMIF('BOM Additions'!B$4:B$153,A25,'BOM Additions'!K$4:K$153)</f>
        <v/>
      </c>
      <c r="F25" s="28">
        <f>COUNTIFS('BOM Additions'!B$4:B$153,A25,'BOM Additions'!O$4:O$153,"Pending")</f>
        <v/>
      </c>
      <c r="G25" s="28">
        <f>COUNTIFS('BOM Additions'!B$4:B$153,A25,'BOM Additions'!O$4:O$153,"PO Raised")+COUNTIFS('BOM Additions'!B$4:B$153,A25,'BOM Additions'!O$4:O$153,"Ordered")</f>
        <v/>
      </c>
      <c r="H25" s="28">
        <f>COUNTIFS('BOM Additions'!B$4:B$153,A25,'BOM Additions'!O$4:O$153,"Complete")</f>
        <v/>
      </c>
      <c r="I25" s="24" t="inlineStr"/>
    </row>
    <row r="26" ht="20" customHeight="1">
      <c r="A26" s="29" t="inlineStr">
        <is>
          <t>801270</t>
        </is>
      </c>
      <c r="B26" s="30" t="inlineStr"/>
      <c r="C26" s="53" t="n"/>
      <c r="D26" s="32">
        <f>COUNTIF('BOM Additions'!B$4:B$153,A26)</f>
        <v/>
      </c>
      <c r="E26" s="60">
        <f>SUMIF('BOM Additions'!B$4:B$153,A26,'BOM Additions'!K$4:K$153)</f>
        <v/>
      </c>
      <c r="F26" s="34">
        <f>COUNTIFS('BOM Additions'!B$4:B$153,A26,'BOM Additions'!O$4:O$153,"Pending")</f>
        <v/>
      </c>
      <c r="G26" s="34">
        <f>COUNTIFS('BOM Additions'!B$4:B$153,A26,'BOM Additions'!O$4:O$153,"PO Raised")+COUNTIFS('BOM Additions'!B$4:B$153,A26,'BOM Additions'!O$4:O$153,"Ordered")</f>
        <v/>
      </c>
      <c r="H26" s="34">
        <f>COUNTIFS('BOM Additions'!B$4:B$153,A26,'BOM Additions'!O$4:O$153,"Complete")</f>
        <v/>
      </c>
      <c r="I26" s="30" t="inlineStr"/>
    </row>
    <row r="27" ht="20" customHeight="1">
      <c r="A27" s="23" t="inlineStr">
        <is>
          <t>801281</t>
        </is>
      </c>
      <c r="B27" s="24" t="inlineStr"/>
      <c r="C27" s="51" t="n"/>
      <c r="D27" s="26">
        <f>COUNTIF('BOM Additions'!B$4:B$153,A27)</f>
        <v/>
      </c>
      <c r="E27" s="59">
        <f>SUMIF('BOM Additions'!B$4:B$153,A27,'BOM Additions'!K$4:K$153)</f>
        <v/>
      </c>
      <c r="F27" s="28">
        <f>COUNTIFS('BOM Additions'!B$4:B$153,A27,'BOM Additions'!O$4:O$153,"Pending")</f>
        <v/>
      </c>
      <c r="G27" s="28">
        <f>COUNTIFS('BOM Additions'!B$4:B$153,A27,'BOM Additions'!O$4:O$153,"PO Raised")+COUNTIFS('BOM Additions'!B$4:B$153,A27,'BOM Additions'!O$4:O$153,"Ordered")</f>
        <v/>
      </c>
      <c r="H27" s="28">
        <f>COUNTIFS('BOM Additions'!B$4:B$153,A27,'BOM Additions'!O$4:O$153,"Complete")</f>
        <v/>
      </c>
      <c r="I27" s="24" t="inlineStr"/>
    </row>
    <row r="28"/>
    <row r="29"/>
  </sheetData>
  <conditionalFormatting sqref="F3:F19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 ht="28" customHeight="1">
      <c r="A1" s="41" t="inlineStr">
        <is>
          <t>Reason Code</t>
        </is>
      </c>
      <c r="B1" s="41" t="inlineStr">
        <is>
          <t>Procurement Status</t>
        </is>
      </c>
      <c r="C1" s="42" t="inlineStr">
        <is>
          <t>Why was this part added after BOM release?</t>
        </is>
      </c>
    </row>
    <row r="2" ht="18" customHeight="1">
      <c r="A2" s="30" t="inlineStr">
        <is>
          <t>Engineering Change</t>
        </is>
      </c>
      <c r="B2" s="30" t="inlineStr">
        <is>
          <t>Pending</t>
        </is>
      </c>
      <c r="C2" s="43" t="inlineStr">
        <is>
          <t>Design was updated after BOM issued</t>
        </is>
      </c>
    </row>
    <row r="3" ht="18" customHeight="1">
      <c r="A3" s="24" t="inlineStr">
        <is>
          <t>Customer Request</t>
        </is>
      </c>
      <c r="B3" s="24" t="inlineStr">
        <is>
          <t>PO Raised</t>
        </is>
      </c>
      <c r="C3" s="43" t="inlineStr">
        <is>
          <t>Customer requested additional item</t>
        </is>
      </c>
    </row>
    <row r="4" ht="18" customHeight="1">
      <c r="A4" s="30" t="inlineStr">
        <is>
          <t>Error / Omission</t>
        </is>
      </c>
      <c r="B4" s="30" t="inlineStr">
        <is>
          <t>Ordered</t>
        </is>
      </c>
      <c r="C4" s="43" t="inlineStr">
        <is>
          <t>Part missing from original BOM</t>
        </is>
      </c>
    </row>
    <row r="5" ht="18" customHeight="1">
      <c r="A5" s="24" t="inlineStr">
        <is>
          <t>Design Update</t>
        </is>
      </c>
      <c r="B5" s="24" t="inlineStr">
        <is>
          <t>Partial Receipt</t>
        </is>
      </c>
      <c r="C5" s="43" t="inlineStr">
        <is>
          <t>Internal design revision</t>
        </is>
      </c>
    </row>
    <row r="6" ht="18" customHeight="1">
      <c r="A6" s="30" t="inlineStr">
        <is>
          <t>Substitution</t>
        </is>
      </c>
      <c r="B6" s="30" t="inlineStr">
        <is>
          <t>Complete</t>
        </is>
      </c>
      <c r="C6" s="43" t="inlineStr">
        <is>
          <t>Original part replaced with equivalent</t>
        </is>
      </c>
    </row>
    <row r="7" ht="18" customHeight="1">
      <c r="A7" s="24" t="inlineStr">
        <is>
          <t>Additional Scope</t>
        </is>
      </c>
      <c r="B7" s="24" t="inlineStr">
        <is>
          <t>Cancelled</t>
        </is>
      </c>
      <c r="C7" s="43" t="inlineStr">
        <is>
          <t>Scope increased after release</t>
        </is>
      </c>
    </row>
    <row r="8" ht="18" customHeight="1">
      <c r="A8" s="30" t="inlineStr">
        <is>
          <t>Other</t>
        </is>
      </c>
      <c r="C8" s="43" t="inlineStr">
        <is>
          <t>Document reason in Notes column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21" t="inlineStr">
        <is>
          <t>Monthly BOM Additions — Value &amp; Quantity</t>
        </is>
      </c>
      <c r="E1" s="22" t="inlineStr">
        <is>
          <t>Auto from BOM Additions</t>
        </is>
      </c>
    </row>
    <row r="2" ht="36" customHeight="1">
      <c r="A2" s="3" t="inlineStr">
        <is>
          <t>Month</t>
        </is>
      </c>
      <c r="B2" s="3" t="inlineStr">
        <is>
          <t>Month Start</t>
        </is>
      </c>
      <c r="C2" s="3" t="inlineStr">
        <is>
          <t># Additions</t>
        </is>
      </c>
      <c r="D2" s="3" t="inlineStr">
        <is>
          <t>Total Value (AUD)</t>
        </is>
      </c>
      <c r="E2" s="3" t="inlineStr">
        <is>
          <t>Avg Value / Add.</t>
        </is>
      </c>
      <c r="F2" s="3" t="inlineStr">
        <is>
          <t>Running Total AUD</t>
        </is>
      </c>
    </row>
    <row r="3" ht="20" customHeight="1">
      <c r="A3" s="26" t="inlineStr">
        <is>
          <t>Jan-26</t>
        </is>
      </c>
      <c r="B3" s="61" t="n">
        <v>46023</v>
      </c>
      <c r="C3" s="26">
        <f>SUMPRODUCT((YEAR('BOM Additions'!$E$3:$E$53)=YEAR($B3))*(MONTH('BOM Additions'!$E$3:$E$53)=MONTH($B3))*ISNUMBER('BOM Additions'!$E$3:$E$53)*1)</f>
        <v/>
      </c>
      <c r="D3" s="59">
        <f>SUMPRODUCT((YEAR('BOM Additions'!$E$3:$E$53)=YEAR($B3))*(MONTH('BOM Additions'!$E$3:$E$53)=MONTH($B3))*ISNUMBER('BOM Additions'!$E$3:$E$53)*('BOM Additions'!$K$3:$K$53))</f>
        <v/>
      </c>
      <c r="E3" s="52">
        <f>IF(C3=0,"",D3/C3)</f>
        <v/>
      </c>
      <c r="F3" s="52">
        <f>D3</f>
        <v/>
      </c>
    </row>
    <row r="4" ht="20" customHeight="1">
      <c r="A4" s="32" t="inlineStr">
        <is>
          <t>Feb-26</t>
        </is>
      </c>
      <c r="B4" s="62" t="n">
        <v>46054</v>
      </c>
      <c r="C4" s="32">
        <f>SUMPRODUCT((YEAR('BOM Additions'!$E$3:$E$53)=YEAR($B4))*(MONTH('BOM Additions'!$E$3:$E$53)=MONTH($B4))*ISNUMBER('BOM Additions'!$E$3:$E$53)*1)</f>
        <v/>
      </c>
      <c r="D4" s="60">
        <f>SUMPRODUCT((YEAR('BOM Additions'!$E$3:$E$53)=YEAR($B4))*(MONTH('BOM Additions'!$E$3:$E$53)=MONTH($B4))*ISNUMBER('BOM Additions'!$E$3:$E$53)*('BOM Additions'!$K$3:$K$53))</f>
        <v/>
      </c>
      <c r="E4" s="54">
        <f>IF(C4=0,"",D4/C4)</f>
        <v/>
      </c>
      <c r="F4" s="54">
        <f>F3+D4</f>
        <v/>
      </c>
    </row>
    <row r="5" ht="20" customHeight="1">
      <c r="A5" s="26" t="inlineStr">
        <is>
          <t>Mar-26</t>
        </is>
      </c>
      <c r="B5" s="61" t="n">
        <v>46082</v>
      </c>
      <c r="C5" s="26">
        <f>SUMPRODUCT((YEAR('BOM Additions'!$E$3:$E$53)=YEAR($B5))*(MONTH('BOM Additions'!$E$3:$E$53)=MONTH($B5))*ISNUMBER('BOM Additions'!$E$3:$E$53)*1)</f>
        <v/>
      </c>
      <c r="D5" s="59">
        <f>SUMPRODUCT((YEAR('BOM Additions'!$E$3:$E$53)=YEAR($B5))*(MONTH('BOM Additions'!$E$3:$E$53)=MONTH($B5))*ISNUMBER('BOM Additions'!$E$3:$E$53)*('BOM Additions'!$K$3:$K$53))</f>
        <v/>
      </c>
      <c r="E5" s="52">
        <f>IF(C5=0,"",D5/C5)</f>
        <v/>
      </c>
      <c r="F5" s="52">
        <f>F4+D5</f>
        <v/>
      </c>
    </row>
    <row r="6" ht="20" customHeight="1">
      <c r="A6" s="32" t="inlineStr">
        <is>
          <t>Apr-26</t>
        </is>
      </c>
      <c r="B6" s="62" t="n">
        <v>46113</v>
      </c>
      <c r="C6" s="32">
        <f>SUMPRODUCT((YEAR('BOM Additions'!$E$3:$E$53)=YEAR($B6))*(MONTH('BOM Additions'!$E$3:$E$53)=MONTH($B6))*ISNUMBER('BOM Additions'!$E$3:$E$53)*1)</f>
        <v/>
      </c>
      <c r="D6" s="60">
        <f>SUMPRODUCT((YEAR('BOM Additions'!$E$3:$E$53)=YEAR($B6))*(MONTH('BOM Additions'!$E$3:$E$53)=MONTH($B6))*ISNUMBER('BOM Additions'!$E$3:$E$53)*('BOM Additions'!$K$3:$K$53))</f>
        <v/>
      </c>
      <c r="E6" s="54">
        <f>IF(C6=0,"",D6/C6)</f>
        <v/>
      </c>
      <c r="F6" s="54">
        <f>F5+D6</f>
        <v/>
      </c>
    </row>
    <row r="7" ht="20" customHeight="1">
      <c r="A7" s="26" t="inlineStr">
        <is>
          <t>May-26</t>
        </is>
      </c>
      <c r="B7" s="61" t="n">
        <v>46143</v>
      </c>
      <c r="C7" s="26">
        <f>SUMPRODUCT((YEAR('BOM Additions'!$E$3:$E$53)=YEAR($B7))*(MONTH('BOM Additions'!$E$3:$E$53)=MONTH($B7))*ISNUMBER('BOM Additions'!$E$3:$E$53)*1)</f>
        <v/>
      </c>
      <c r="D7" s="59">
        <f>SUMPRODUCT((YEAR('BOM Additions'!$E$3:$E$53)=YEAR($B7))*(MONTH('BOM Additions'!$E$3:$E$53)=MONTH($B7))*ISNUMBER('BOM Additions'!$E$3:$E$53)*('BOM Additions'!$K$3:$K$53))</f>
        <v/>
      </c>
      <c r="E7" s="52">
        <f>IF(C7=0,"",D7/C7)</f>
        <v/>
      </c>
      <c r="F7" s="52">
        <f>F6+D7</f>
        <v/>
      </c>
    </row>
    <row r="8" ht="20" customHeight="1">
      <c r="A8" s="32" t="inlineStr">
        <is>
          <t>Jun-26</t>
        </is>
      </c>
      <c r="B8" s="62" t="n">
        <v>46174</v>
      </c>
      <c r="C8" s="32">
        <f>SUMPRODUCT((YEAR('BOM Additions'!$E$3:$E$53)=YEAR($B8))*(MONTH('BOM Additions'!$E$3:$E$53)=MONTH($B8))*ISNUMBER('BOM Additions'!$E$3:$E$53)*1)</f>
        <v/>
      </c>
      <c r="D8" s="60">
        <f>SUMPRODUCT((YEAR('BOM Additions'!$E$3:$E$53)=YEAR($B8))*(MONTH('BOM Additions'!$E$3:$E$53)=MONTH($B8))*ISNUMBER('BOM Additions'!$E$3:$E$53)*('BOM Additions'!$K$3:$K$53))</f>
        <v/>
      </c>
      <c r="E8" s="54">
        <f>IF(C8=0,"",D8/C8)</f>
        <v/>
      </c>
      <c r="F8" s="54">
        <f>F7+D8</f>
        <v/>
      </c>
    </row>
    <row r="9" ht="20" customHeight="1">
      <c r="A9" s="26" t="inlineStr">
        <is>
          <t>Jul-26</t>
        </is>
      </c>
      <c r="B9" s="61" t="n">
        <v>46204</v>
      </c>
      <c r="C9" s="26">
        <f>SUMPRODUCT((YEAR('BOM Additions'!$E$3:$E$53)=YEAR($B9))*(MONTH('BOM Additions'!$E$3:$E$53)=MONTH($B9))*ISNUMBER('BOM Additions'!$E$3:$E$53)*1)</f>
        <v/>
      </c>
      <c r="D9" s="59">
        <f>SUMPRODUCT((YEAR('BOM Additions'!$E$3:$E$53)=YEAR($B9))*(MONTH('BOM Additions'!$E$3:$E$53)=MONTH($B9))*ISNUMBER('BOM Additions'!$E$3:$E$53)*('BOM Additions'!$K$3:$K$53))</f>
        <v/>
      </c>
      <c r="E9" s="52">
        <f>IF(C9=0,"",D9/C9)</f>
        <v/>
      </c>
      <c r="F9" s="52">
        <f>F8+D9</f>
        <v/>
      </c>
    </row>
    <row r="10" ht="20" customHeight="1">
      <c r="A10" s="32" t="inlineStr">
        <is>
          <t>Aug-26</t>
        </is>
      </c>
      <c r="B10" s="62" t="n">
        <v>46235</v>
      </c>
      <c r="C10" s="32">
        <f>SUMPRODUCT((YEAR('BOM Additions'!$E$3:$E$53)=YEAR($B10))*(MONTH('BOM Additions'!$E$3:$E$53)=MONTH($B10))*ISNUMBER('BOM Additions'!$E$3:$E$53)*1)</f>
        <v/>
      </c>
      <c r="D10" s="60">
        <f>SUMPRODUCT((YEAR('BOM Additions'!$E$3:$E$53)=YEAR($B10))*(MONTH('BOM Additions'!$E$3:$E$53)=MONTH($B10))*ISNUMBER('BOM Additions'!$E$3:$E$53)*('BOM Additions'!$K$3:$K$53))</f>
        <v/>
      </c>
      <c r="E10" s="54">
        <f>IF(C10=0,"",D10/C10)</f>
        <v/>
      </c>
      <c r="F10" s="54">
        <f>F9+D10</f>
        <v/>
      </c>
    </row>
    <row r="11" ht="20" customHeight="1">
      <c r="A11" s="26" t="inlineStr">
        <is>
          <t>Sep-26</t>
        </is>
      </c>
      <c r="B11" s="61" t="n">
        <v>46266</v>
      </c>
      <c r="C11" s="26">
        <f>SUMPRODUCT((YEAR('BOM Additions'!$E$3:$E$53)=YEAR($B11))*(MONTH('BOM Additions'!$E$3:$E$53)=MONTH($B11))*ISNUMBER('BOM Additions'!$E$3:$E$53)*1)</f>
        <v/>
      </c>
      <c r="D11" s="59">
        <f>SUMPRODUCT((YEAR('BOM Additions'!$E$3:$E$53)=YEAR($B11))*(MONTH('BOM Additions'!$E$3:$E$53)=MONTH($B11))*ISNUMBER('BOM Additions'!$E$3:$E$53)*('BOM Additions'!$K$3:$K$53))</f>
        <v/>
      </c>
      <c r="E11" s="52">
        <f>IF(C11=0,"",D11/C11)</f>
        <v/>
      </c>
      <c r="F11" s="52">
        <f>F10+D11</f>
        <v/>
      </c>
    </row>
    <row r="12" ht="20" customHeight="1">
      <c r="A12" s="32" t="inlineStr">
        <is>
          <t>Oct-26</t>
        </is>
      </c>
      <c r="B12" s="62" t="n">
        <v>46296</v>
      </c>
      <c r="C12" s="32">
        <f>SUMPRODUCT((YEAR('BOM Additions'!$E$3:$E$53)=YEAR($B12))*(MONTH('BOM Additions'!$E$3:$E$53)=MONTH($B12))*ISNUMBER('BOM Additions'!$E$3:$E$53)*1)</f>
        <v/>
      </c>
      <c r="D12" s="60">
        <f>SUMPRODUCT((YEAR('BOM Additions'!$E$3:$E$53)=YEAR($B12))*(MONTH('BOM Additions'!$E$3:$E$53)=MONTH($B12))*ISNUMBER('BOM Additions'!$E$3:$E$53)*('BOM Additions'!$K$3:$K$53))</f>
        <v/>
      </c>
      <c r="E12" s="54">
        <f>IF(C12=0,"",D12/C12)</f>
        <v/>
      </c>
      <c r="F12" s="54">
        <f>F11+D12</f>
        <v/>
      </c>
    </row>
    <row r="13" ht="20" customHeight="1">
      <c r="A13" s="26" t="inlineStr">
        <is>
          <t>Nov-26</t>
        </is>
      </c>
      <c r="B13" s="61" t="n">
        <v>46327</v>
      </c>
      <c r="C13" s="26">
        <f>SUMPRODUCT((YEAR('BOM Additions'!$E$3:$E$53)=YEAR($B13))*(MONTH('BOM Additions'!$E$3:$E$53)=MONTH($B13))*ISNUMBER('BOM Additions'!$E$3:$E$53)*1)</f>
        <v/>
      </c>
      <c r="D13" s="59">
        <f>SUMPRODUCT((YEAR('BOM Additions'!$E$3:$E$53)=YEAR($B13))*(MONTH('BOM Additions'!$E$3:$E$53)=MONTH($B13))*ISNUMBER('BOM Additions'!$E$3:$E$53)*('BOM Additions'!$K$3:$K$53))</f>
        <v/>
      </c>
      <c r="E13" s="52">
        <f>IF(C13=0,"",D13/C13)</f>
        <v/>
      </c>
      <c r="F13" s="52">
        <f>F12+D13</f>
        <v/>
      </c>
    </row>
    <row r="14" ht="20" customHeight="1">
      <c r="A14" s="32" t="inlineStr">
        <is>
          <t>Dec-26</t>
        </is>
      </c>
      <c r="B14" s="62" t="n">
        <v>46357</v>
      </c>
      <c r="C14" s="32">
        <f>SUMPRODUCT((YEAR('BOM Additions'!$E$3:$E$53)=YEAR($B14))*(MONTH('BOM Additions'!$E$3:$E$53)=MONTH($B14))*ISNUMBER('BOM Additions'!$E$3:$E$53)*1)</f>
        <v/>
      </c>
      <c r="D14" s="60">
        <f>SUMPRODUCT((YEAR('BOM Additions'!$E$3:$E$53)=YEAR($B14))*(MONTH('BOM Additions'!$E$3:$E$53)=MONTH($B14))*ISNUMBER('BOM Additions'!$E$3:$E$53)*('BOM Additions'!$K$3:$K$53))</f>
        <v/>
      </c>
      <c r="E14" s="54">
        <f>IF(C14=0,"",D14/C14)</f>
        <v/>
      </c>
      <c r="F14" s="54">
        <f>F13+D14</f>
        <v/>
      </c>
    </row>
    <row r="15" ht="20" customHeight="1">
      <c r="A15" s="26" t="inlineStr">
        <is>
          <t>Jan-27</t>
        </is>
      </c>
      <c r="B15" s="61" t="n">
        <v>46388</v>
      </c>
      <c r="C15" s="26">
        <f>SUMPRODUCT((YEAR('BOM Additions'!$E$3:$E$53)=YEAR($B15))*(MONTH('BOM Additions'!$E$3:$E$53)=MONTH($B15))*ISNUMBER('BOM Additions'!$E$3:$E$53)*1)</f>
        <v/>
      </c>
      <c r="D15" s="59">
        <f>SUMPRODUCT((YEAR('BOM Additions'!$E$3:$E$53)=YEAR($B15))*(MONTH('BOM Additions'!$E$3:$E$53)=MONTH($B15))*ISNUMBER('BOM Additions'!$E$3:$E$53)*('BOM Additions'!$K$3:$K$53))</f>
        <v/>
      </c>
      <c r="E15" s="52">
        <f>IF(C15=0,"",D15/C15)</f>
        <v/>
      </c>
      <c r="F15" s="52">
        <f>F14+D15</f>
        <v/>
      </c>
    </row>
    <row r="16" ht="22" customHeight="1">
      <c r="A16" s="37" t="inlineStr">
        <is>
          <t>TOTALS</t>
        </is>
      </c>
      <c r="B16" s="63" t="n"/>
      <c r="C16" s="48">
        <f>SUM(C3:C15)</f>
        <v/>
      </c>
      <c r="D16" s="64">
        <f>SUM(D3:D15)</f>
        <v/>
      </c>
      <c r="E16" s="40" t="n"/>
      <c r="F16" s="40" t="n"/>
    </row>
  </sheetData>
  <mergeCells count="3">
    <mergeCell ref="A1:D1"/>
    <mergeCell ref="A16:B16"/>
    <mergeCell ref="E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2026-08-18T09:12:06Z</dcterms:created>
  <dcterms:modified xsi:type="dcterms:W3CDTF">2026-08-18T09:18:27Z</dcterms:modified>
</cp:coreProperties>
</file>