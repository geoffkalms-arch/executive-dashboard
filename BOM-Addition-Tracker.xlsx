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 Additions" sheetId="1" state="visible" r:id="rId1"/>
    <sheet name="Job Summary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964"/>
      <sz val="10"/>
    </font>
    <font>
      <name val="Arial"/>
      <b val="1"/>
      <color rgb="00FFFFFF"/>
      <sz val="10"/>
    </font>
    <font>
      <name val="Arial"/>
      <color rgb="00404040"/>
      <sz val="10"/>
    </font>
    <font>
      <name val="Arial"/>
      <i val="1"/>
      <color rgb="00404040"/>
      <sz val="10"/>
    </font>
    <font>
      <name val="Arial"/>
      <i val="1"/>
      <color rgb="00A0A0A0"/>
      <sz val="9"/>
    </font>
    <font>
      <name val="Arial"/>
      <b val="1"/>
      <color rgb="00FFFFFF"/>
      <sz val="14"/>
    </font>
    <font>
      <name val="Arial"/>
      <b val="1"/>
      <color rgb="001F3964"/>
      <sz val="9"/>
    </font>
    <font>
      <name val="Arial"/>
      <b val="1"/>
      <color rgb="00404040"/>
      <sz val="10"/>
    </font>
    <font>
      <name val="Arial"/>
      <color rgb="00A0A0A0"/>
      <sz val="9"/>
    </font>
  </fonts>
  <fills count="7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FC000"/>
      </patternFill>
    </fill>
    <fill>
      <patternFill patternType="solid">
        <fgColor rgb="00FFF8E1"/>
      </patternFill>
    </fill>
    <fill>
      <patternFill patternType="solid">
        <fgColor rgb="00FFFFFF"/>
      </patternFill>
    </fill>
    <fill>
      <patternFill patternType="solid">
        <fgColor rgb="00F2F4F6"/>
      </patternFill>
    </fill>
  </fills>
  <borders count="2">
    <border>
      <left/>
      <right/>
      <top/>
      <bottom/>
      <diagonal/>
    </border>
    <border>
      <left style="thin">
        <color rgb="00C0C8D4"/>
      </left>
      <right style="thin">
        <color rgb="00C0C8D4"/>
      </right>
      <top style="thin">
        <color rgb="00C0C8D4"/>
      </top>
      <bottom style="thin">
        <color rgb="00C0C8D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5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left" vertical="center"/>
    </xf>
    <xf numFmtId="1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left" vertical="center"/>
    </xf>
    <xf numFmtId="1" fontId="4" fillId="6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165" fontId="4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4" fillId="6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Arial"/>
        <b val="1"/>
        <color rgb="00C00000"/>
      </font>
      <fill>
        <patternFill patternType="solid">
          <fgColor rgb="00FFF0F0"/>
        </patternFill>
      </fill>
    </dxf>
    <dxf>
      <font>
        <name val="Arial"/>
        <b val="1"/>
        <color rgb="00375C1B"/>
      </font>
      <fill>
        <patternFill patternType="solid">
          <fgColor rgb="00EFF8E8"/>
        </patternFill>
      </fill>
    </dxf>
    <dxf>
      <font>
        <name val="Arial"/>
        <b val="1"/>
        <color rgb="008B6200"/>
      </font>
      <fill>
        <patternFill patternType="solid">
          <f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16" customWidth="1" min="4" max="4"/>
    <col width="16" customWidth="1" min="5" max="5"/>
    <col width="14" customWidth="1" min="6" max="6"/>
    <col width="16" customWidth="1" min="7" max="7"/>
    <col width="30" customWidth="1" min="8" max="8"/>
    <col width="7" customWidth="1" min="9" max="9"/>
    <col width="15" customWidth="1" min="10" max="10"/>
    <col width="15" customWidth="1" min="11" max="11"/>
    <col width="20" customWidth="1" min="12" max="12"/>
    <col width="18" customWidth="1" min="13" max="13"/>
    <col width="18" customWidth="1" min="14" max="14"/>
    <col width="20" customWidth="1" min="15" max="15"/>
    <col width="20" customWidth="1" min="16" max="16"/>
    <col width="15" customWidth="1" min="17" max="17"/>
    <col width="15" customWidth="1" min="18" max="18"/>
    <col width="16" customWidth="1" min="19" max="19"/>
    <col width="15" customWidth="1" min="20" max="20"/>
    <col width="16" customWidth="1" min="21" max="21"/>
    <col width="30" customWidth="1" min="22" max="22"/>
  </cols>
  <sheetData>
    <row r="1" ht="36" customHeight="1">
      <c r="A1" s="1" t="inlineStr">
        <is>
          <t>BOM Post-Release Addition Tracker</t>
        </is>
      </c>
      <c r="U1" s="2" t="inlineStr">
        <is>
          <t>Procurement Use</t>
        </is>
      </c>
    </row>
    <row r="2" ht="40" customHeight="1">
      <c r="A2" s="3" t="inlineStr">
        <is>
          <t>#</t>
        </is>
      </c>
      <c r="B2" s="3" t="inlineStr">
        <is>
          <t>Job No.</t>
        </is>
      </c>
      <c r="C2" s="3" t="inlineStr">
        <is>
          <t>Job Description</t>
        </is>
      </c>
      <c r="D2" s="3" t="inlineStr">
        <is>
          <t>BOM Release Date</t>
        </is>
      </c>
      <c r="E2" s="3" t="inlineStr">
        <is>
          <t>Addition Date</t>
        </is>
      </c>
      <c r="F2" s="3" t="inlineStr">
        <is>
          <t>Days After Release</t>
        </is>
      </c>
      <c r="G2" s="3" t="inlineStr">
        <is>
          <t>Part No.</t>
        </is>
      </c>
      <c r="H2" s="3" t="inlineStr">
        <is>
          <t>Part Description</t>
        </is>
      </c>
      <c r="I2" s="3" t="inlineStr">
        <is>
          <t>Qty</t>
        </is>
      </c>
      <c r="J2" s="3" t="inlineStr">
        <is>
          <t>Unit Cost (AUD)</t>
        </is>
      </c>
      <c r="K2" s="3" t="inlineStr">
        <is>
          <t>Total Cost (AUD)</t>
        </is>
      </c>
      <c r="L2" s="3" t="inlineStr">
        <is>
          <t>Reason Code</t>
        </is>
      </c>
      <c r="M2" s="3" t="inlineStr">
        <is>
          <t>Requested By</t>
        </is>
      </c>
      <c r="N2" s="3" t="inlineStr">
        <is>
          <t>Approved By</t>
        </is>
      </c>
      <c r="O2" s="3" t="inlineStr">
        <is>
          <t>Procurement Status</t>
        </is>
      </c>
      <c r="P2" s="3" t="inlineStr">
        <is>
          <t>Supplier</t>
        </is>
      </c>
      <c r="Q2" s="3" t="inlineStr">
        <is>
          <t>PO Number</t>
        </is>
      </c>
      <c r="R2" s="3" t="inlineStr">
        <is>
          <t>Required By</t>
        </is>
      </c>
      <c r="S2" s="3" t="inlineStr">
        <is>
          <t>Expected Delivery</t>
        </is>
      </c>
      <c r="T2" s="3" t="inlineStr">
        <is>
          <t>Actual Delivery</t>
        </is>
      </c>
      <c r="U2" s="3" t="inlineStr">
        <is>
          <t>Delivery Status</t>
        </is>
      </c>
      <c r="V2" s="3" t="inlineStr">
        <is>
          <t>Notes</t>
        </is>
      </c>
    </row>
    <row r="3" ht="20" customHeight="1">
      <c r="A3" s="4">
        <f>ROW()-2</f>
        <v/>
      </c>
      <c r="B3" s="5" t="inlineStr">
        <is>
          <t>801254</t>
        </is>
      </c>
      <c r="C3" s="5" t="inlineStr">
        <is>
          <t>Aviation Refueller Mk4</t>
        </is>
      </c>
      <c r="D3" s="6" t="n">
        <v>46231</v>
      </c>
      <c r="E3" s="6" t="n">
        <v>46239</v>
      </c>
      <c r="F3" s="7">
        <f>IF(AND(D3&lt;&gt;"",E3&lt;&gt;""),E3-D3,"")</f>
        <v/>
      </c>
      <c r="G3" s="5" t="inlineStr">
        <is>
          <t>HYD-SEAL-088</t>
        </is>
      </c>
      <c r="H3" s="5" t="inlineStr">
        <is>
          <t>Hydraulic seal kit — actuator arm</t>
        </is>
      </c>
      <c r="I3" s="7" t="n">
        <v>2</v>
      </c>
      <c r="J3" s="8" t="n">
        <v>145</v>
      </c>
      <c r="K3" s="8">
        <f>IF(AND(I3&lt;&gt;"",J3&lt;&gt;""),I3*J3,"")</f>
        <v/>
      </c>
      <c r="L3" s="5" t="inlineStr">
        <is>
          <t>Engineering Change</t>
        </is>
      </c>
      <c r="M3" s="5" t="inlineStr">
        <is>
          <t>T. Wallace</t>
        </is>
      </c>
      <c r="N3" s="5" t="inlineStr">
        <is>
          <t>G. Kalms</t>
        </is>
      </c>
      <c r="O3" s="5" t="inlineStr">
        <is>
          <t>Ordered</t>
        </is>
      </c>
      <c r="P3" s="5" t="inlineStr">
        <is>
          <t>Hydraforce Pty Ltd</t>
        </is>
      </c>
      <c r="Q3" s="5" t="inlineStr">
        <is>
          <t>PO-2026-0412</t>
        </is>
      </c>
      <c r="R3" s="6" t="n">
        <v>46254</v>
      </c>
      <c r="S3" s="6" t="n">
        <v>46252</v>
      </c>
      <c r="T3" s="6" t="n"/>
      <c r="U3" s="5">
        <f>IF(T3&lt;&gt;"","Received",IF(AND(S3&lt;&gt;"",S3&lt;TODAY()),"⚠ Overdue","On Track"))</f>
        <v/>
      </c>
      <c r="V3" s="9" t="inlineStr">
        <is>
          <t>Required before cab assembly — flagged by engineering 4/8</t>
        </is>
      </c>
    </row>
    <row r="4" ht="18" customHeight="1">
      <c r="A4" s="10">
        <f>IF(B4&lt;&gt;"",ROW()-2,"")</f>
        <v/>
      </c>
      <c r="B4" s="11" t="n"/>
      <c r="C4" s="11" t="n"/>
      <c r="D4" s="12" t="n"/>
      <c r="E4" s="12" t="n"/>
      <c r="F4" s="13">
        <f>IF(AND(D4&lt;&gt;"",E4&lt;&gt;""),E4-D4,"")</f>
        <v/>
      </c>
      <c r="G4" s="11" t="n"/>
      <c r="H4" s="11" t="n"/>
      <c r="I4" s="10" t="n"/>
      <c r="J4" s="14" t="n"/>
      <c r="K4" s="14">
        <f>IF(AND(I4&lt;&gt;"",J4&lt;&gt;""),I4*J4,"")</f>
        <v/>
      </c>
      <c r="L4" s="11" t="n"/>
      <c r="M4" s="11" t="n"/>
      <c r="N4" s="11" t="n"/>
      <c r="O4" s="11" t="n"/>
      <c r="P4" s="11" t="n"/>
      <c r="Q4" s="11" t="n"/>
      <c r="R4" s="12" t="n"/>
      <c r="S4" s="12" t="n"/>
      <c r="T4" s="12" t="n"/>
      <c r="U4" s="11">
        <f>IF(T4&lt;&gt;"","Received",IF(AND(S4&lt;&gt;"",S4&lt;TODAY()),"⚠ Overdue","On Track"))</f>
        <v/>
      </c>
      <c r="V4" s="11" t="n"/>
    </row>
    <row r="5" ht="18" customHeight="1">
      <c r="A5" s="15">
        <f>IF(B5&lt;&gt;"",ROW()-2,"")</f>
        <v/>
      </c>
      <c r="B5" s="16" t="n"/>
      <c r="C5" s="16" t="n"/>
      <c r="D5" s="17" t="n"/>
      <c r="E5" s="17" t="n"/>
      <c r="F5" s="18">
        <f>IF(AND(D5&lt;&gt;"",E5&lt;&gt;""),E5-D5,"")</f>
        <v/>
      </c>
      <c r="G5" s="16" t="n"/>
      <c r="H5" s="16" t="n"/>
      <c r="I5" s="15" t="n"/>
      <c r="J5" s="19" t="n"/>
      <c r="K5" s="19">
        <f>IF(AND(I5&lt;&gt;"",J5&lt;&gt;""),I5*J5,"")</f>
        <v/>
      </c>
      <c r="L5" s="16" t="n"/>
      <c r="M5" s="16" t="n"/>
      <c r="N5" s="16" t="n"/>
      <c r="O5" s="16" t="n"/>
      <c r="P5" s="16" t="n"/>
      <c r="Q5" s="16" t="n"/>
      <c r="R5" s="17" t="n"/>
      <c r="S5" s="17" t="n"/>
      <c r="T5" s="17" t="n"/>
      <c r="U5" s="16">
        <f>IF(T5&lt;&gt;"","Received",IF(AND(S5&lt;&gt;"",S5&lt;TODAY()),"⚠ Overdue","On Track"))</f>
        <v/>
      </c>
      <c r="V5" s="16" t="n"/>
    </row>
    <row r="6" ht="18" customHeight="1">
      <c r="A6" s="10">
        <f>IF(B6&lt;&gt;"",ROW()-2,"")</f>
        <v/>
      </c>
      <c r="B6" s="11" t="n"/>
      <c r="C6" s="11" t="n"/>
      <c r="D6" s="12" t="n"/>
      <c r="E6" s="12" t="n"/>
      <c r="F6" s="13">
        <f>IF(AND(D6&lt;&gt;"",E6&lt;&gt;""),E6-D6,"")</f>
        <v/>
      </c>
      <c r="G6" s="11" t="n"/>
      <c r="H6" s="11" t="n"/>
      <c r="I6" s="10" t="n"/>
      <c r="J6" s="14" t="n"/>
      <c r="K6" s="14">
        <f>IF(AND(I6&lt;&gt;"",J6&lt;&gt;""),I6*J6,"")</f>
        <v/>
      </c>
      <c r="L6" s="11" t="n"/>
      <c r="M6" s="11" t="n"/>
      <c r="N6" s="11" t="n"/>
      <c r="O6" s="11" t="n"/>
      <c r="P6" s="11" t="n"/>
      <c r="Q6" s="11" t="n"/>
      <c r="R6" s="12" t="n"/>
      <c r="S6" s="12" t="n"/>
      <c r="T6" s="12" t="n"/>
      <c r="U6" s="11">
        <f>IF(T6&lt;&gt;"","Received",IF(AND(S6&lt;&gt;"",S6&lt;TODAY()),"⚠ Overdue","On Track"))</f>
        <v/>
      </c>
      <c r="V6" s="11" t="n"/>
    </row>
    <row r="7" ht="18" customHeight="1">
      <c r="A7" s="15">
        <f>IF(B7&lt;&gt;"",ROW()-2,"")</f>
        <v/>
      </c>
      <c r="B7" s="16" t="n"/>
      <c r="C7" s="16" t="n"/>
      <c r="D7" s="17" t="n"/>
      <c r="E7" s="17" t="n"/>
      <c r="F7" s="18">
        <f>IF(AND(D7&lt;&gt;"",E7&lt;&gt;""),E7-D7,"")</f>
        <v/>
      </c>
      <c r="G7" s="16" t="n"/>
      <c r="H7" s="16" t="n"/>
      <c r="I7" s="15" t="n"/>
      <c r="J7" s="19" t="n"/>
      <c r="K7" s="19">
        <f>IF(AND(I7&lt;&gt;"",J7&lt;&gt;""),I7*J7,"")</f>
        <v/>
      </c>
      <c r="L7" s="16" t="n"/>
      <c r="M7" s="16" t="n"/>
      <c r="N7" s="16" t="n"/>
      <c r="O7" s="16" t="n"/>
      <c r="P7" s="16" t="n"/>
      <c r="Q7" s="16" t="n"/>
      <c r="R7" s="17" t="n"/>
      <c r="S7" s="17" t="n"/>
      <c r="T7" s="17" t="n"/>
      <c r="U7" s="16">
        <f>IF(T7&lt;&gt;"","Received",IF(AND(S7&lt;&gt;"",S7&lt;TODAY()),"⚠ Overdue","On Track"))</f>
        <v/>
      </c>
      <c r="V7" s="16" t="n"/>
    </row>
    <row r="8" ht="18" customHeight="1">
      <c r="A8" s="10">
        <f>IF(B8&lt;&gt;"",ROW()-2,"")</f>
        <v/>
      </c>
      <c r="B8" s="11" t="n"/>
      <c r="C8" s="11" t="n"/>
      <c r="D8" s="12" t="n"/>
      <c r="E8" s="12" t="n"/>
      <c r="F8" s="13">
        <f>IF(AND(D8&lt;&gt;"",E8&lt;&gt;""),E8-D8,"")</f>
        <v/>
      </c>
      <c r="G8" s="11" t="n"/>
      <c r="H8" s="11" t="n"/>
      <c r="I8" s="10" t="n"/>
      <c r="J8" s="14" t="n"/>
      <c r="K8" s="14">
        <f>IF(AND(I8&lt;&gt;"",J8&lt;&gt;""),I8*J8,"")</f>
        <v/>
      </c>
      <c r="L8" s="11" t="n"/>
      <c r="M8" s="11" t="n"/>
      <c r="N8" s="11" t="n"/>
      <c r="O8" s="11" t="n"/>
      <c r="P8" s="11" t="n"/>
      <c r="Q8" s="11" t="n"/>
      <c r="R8" s="12" t="n"/>
      <c r="S8" s="12" t="n"/>
      <c r="T8" s="12" t="n"/>
      <c r="U8" s="11">
        <f>IF(T8&lt;&gt;"","Received",IF(AND(S8&lt;&gt;"",S8&lt;TODAY()),"⚠ Overdue","On Track"))</f>
        <v/>
      </c>
      <c r="V8" s="11" t="n"/>
    </row>
    <row r="9" ht="18" customHeight="1">
      <c r="A9" s="15">
        <f>IF(B9&lt;&gt;"",ROW()-2,"")</f>
        <v/>
      </c>
      <c r="B9" s="16" t="n"/>
      <c r="C9" s="16" t="n"/>
      <c r="D9" s="17" t="n"/>
      <c r="E9" s="17" t="n"/>
      <c r="F9" s="18">
        <f>IF(AND(D9&lt;&gt;"",E9&lt;&gt;""),E9-D9,"")</f>
        <v/>
      </c>
      <c r="G9" s="16" t="n"/>
      <c r="H9" s="16" t="n"/>
      <c r="I9" s="15" t="n"/>
      <c r="J9" s="19" t="n"/>
      <c r="K9" s="19">
        <f>IF(AND(I9&lt;&gt;"",J9&lt;&gt;""),I9*J9,"")</f>
        <v/>
      </c>
      <c r="L9" s="16" t="n"/>
      <c r="M9" s="16" t="n"/>
      <c r="N9" s="16" t="n"/>
      <c r="O9" s="16" t="n"/>
      <c r="P9" s="16" t="n"/>
      <c r="Q9" s="16" t="n"/>
      <c r="R9" s="17" t="n"/>
      <c r="S9" s="17" t="n"/>
      <c r="T9" s="17" t="n"/>
      <c r="U9" s="16">
        <f>IF(T9&lt;&gt;"","Received",IF(AND(S9&lt;&gt;"",S9&lt;TODAY()),"⚠ Overdue","On Track"))</f>
        <v/>
      </c>
      <c r="V9" s="16" t="n"/>
    </row>
    <row r="10" ht="18" customHeight="1">
      <c r="A10" s="10">
        <f>IF(B10&lt;&gt;"",ROW()-2,"")</f>
        <v/>
      </c>
      <c r="B10" s="11" t="n"/>
      <c r="C10" s="11" t="n"/>
      <c r="D10" s="12" t="n"/>
      <c r="E10" s="12" t="n"/>
      <c r="F10" s="13">
        <f>IF(AND(D10&lt;&gt;"",E10&lt;&gt;""),E10-D10,"")</f>
        <v/>
      </c>
      <c r="G10" s="11" t="n"/>
      <c r="H10" s="11" t="n"/>
      <c r="I10" s="10" t="n"/>
      <c r="J10" s="14" t="n"/>
      <c r="K10" s="14">
        <f>IF(AND(I10&lt;&gt;"",J10&lt;&gt;""),I10*J10,"")</f>
        <v/>
      </c>
      <c r="L10" s="11" t="n"/>
      <c r="M10" s="11" t="n"/>
      <c r="N10" s="11" t="n"/>
      <c r="O10" s="11" t="n"/>
      <c r="P10" s="11" t="n"/>
      <c r="Q10" s="11" t="n"/>
      <c r="R10" s="12" t="n"/>
      <c r="S10" s="12" t="n"/>
      <c r="T10" s="12" t="n"/>
      <c r="U10" s="11">
        <f>IF(T10&lt;&gt;"","Received",IF(AND(S10&lt;&gt;"",S10&lt;TODAY()),"⚠ Overdue","On Track"))</f>
        <v/>
      </c>
      <c r="V10" s="11" t="n"/>
    </row>
    <row r="11" ht="18" customHeight="1">
      <c r="A11" s="15">
        <f>IF(B11&lt;&gt;"",ROW()-2,"")</f>
        <v/>
      </c>
      <c r="B11" s="16" t="n"/>
      <c r="C11" s="16" t="n"/>
      <c r="D11" s="17" t="n"/>
      <c r="E11" s="17" t="n"/>
      <c r="F11" s="18">
        <f>IF(AND(D11&lt;&gt;"",E11&lt;&gt;""),E11-D11,"")</f>
        <v/>
      </c>
      <c r="G11" s="16" t="n"/>
      <c r="H11" s="16" t="n"/>
      <c r="I11" s="15" t="n"/>
      <c r="J11" s="19" t="n"/>
      <c r="K11" s="19">
        <f>IF(AND(I11&lt;&gt;"",J11&lt;&gt;""),I11*J11,"")</f>
        <v/>
      </c>
      <c r="L11" s="16" t="n"/>
      <c r="M11" s="16" t="n"/>
      <c r="N11" s="16" t="n"/>
      <c r="O11" s="16" t="n"/>
      <c r="P11" s="16" t="n"/>
      <c r="Q11" s="16" t="n"/>
      <c r="R11" s="17" t="n"/>
      <c r="S11" s="17" t="n"/>
      <c r="T11" s="17" t="n"/>
      <c r="U11" s="16">
        <f>IF(T11&lt;&gt;"","Received",IF(AND(S11&lt;&gt;"",S11&lt;TODAY()),"⚠ Overdue","On Track"))</f>
        <v/>
      </c>
      <c r="V11" s="16" t="n"/>
    </row>
    <row r="12" ht="18" customHeight="1">
      <c r="A12" s="10">
        <f>IF(B12&lt;&gt;"",ROW()-2,"")</f>
        <v/>
      </c>
      <c r="B12" s="11" t="n"/>
      <c r="C12" s="11" t="n"/>
      <c r="D12" s="12" t="n"/>
      <c r="E12" s="12" t="n"/>
      <c r="F12" s="13">
        <f>IF(AND(D12&lt;&gt;"",E12&lt;&gt;""),E12-D12,"")</f>
        <v/>
      </c>
      <c r="G12" s="11" t="n"/>
      <c r="H12" s="11" t="n"/>
      <c r="I12" s="10" t="n"/>
      <c r="J12" s="14" t="n"/>
      <c r="K12" s="14">
        <f>IF(AND(I12&lt;&gt;"",J12&lt;&gt;""),I12*J12,"")</f>
        <v/>
      </c>
      <c r="L12" s="11" t="n"/>
      <c r="M12" s="11" t="n"/>
      <c r="N12" s="11" t="n"/>
      <c r="O12" s="11" t="n"/>
      <c r="P12" s="11" t="n"/>
      <c r="Q12" s="11" t="n"/>
      <c r="R12" s="12" t="n"/>
      <c r="S12" s="12" t="n"/>
      <c r="T12" s="12" t="n"/>
      <c r="U12" s="11">
        <f>IF(T12&lt;&gt;"","Received",IF(AND(S12&lt;&gt;"",S12&lt;TODAY()),"⚠ Overdue","On Track"))</f>
        <v/>
      </c>
      <c r="V12" s="11" t="n"/>
    </row>
    <row r="13" ht="18" customHeight="1">
      <c r="A13" s="15">
        <f>IF(B13&lt;&gt;"",ROW()-2,"")</f>
        <v/>
      </c>
      <c r="B13" s="16" t="n"/>
      <c r="C13" s="16" t="n"/>
      <c r="D13" s="17" t="n"/>
      <c r="E13" s="17" t="n"/>
      <c r="F13" s="18">
        <f>IF(AND(D13&lt;&gt;"",E13&lt;&gt;""),E13-D13,"")</f>
        <v/>
      </c>
      <c r="G13" s="16" t="n"/>
      <c r="H13" s="16" t="n"/>
      <c r="I13" s="15" t="n"/>
      <c r="J13" s="19" t="n"/>
      <c r="K13" s="19">
        <f>IF(AND(I13&lt;&gt;"",J13&lt;&gt;""),I13*J13,"")</f>
        <v/>
      </c>
      <c r="L13" s="16" t="n"/>
      <c r="M13" s="16" t="n"/>
      <c r="N13" s="16" t="n"/>
      <c r="O13" s="16" t="n"/>
      <c r="P13" s="16" t="n"/>
      <c r="Q13" s="16" t="n"/>
      <c r="R13" s="17" t="n"/>
      <c r="S13" s="17" t="n"/>
      <c r="T13" s="17" t="n"/>
      <c r="U13" s="16">
        <f>IF(T13&lt;&gt;"","Received",IF(AND(S13&lt;&gt;"",S13&lt;TODAY()),"⚠ Overdue","On Track"))</f>
        <v/>
      </c>
      <c r="V13" s="16" t="n"/>
    </row>
    <row r="14" ht="18" customHeight="1">
      <c r="A14" s="10">
        <f>IF(B14&lt;&gt;"",ROW()-2,"")</f>
        <v/>
      </c>
      <c r="B14" s="11" t="n"/>
      <c r="C14" s="11" t="n"/>
      <c r="D14" s="12" t="n"/>
      <c r="E14" s="12" t="n"/>
      <c r="F14" s="13">
        <f>IF(AND(D14&lt;&gt;"",E14&lt;&gt;""),E14-D14,"")</f>
        <v/>
      </c>
      <c r="G14" s="11" t="n"/>
      <c r="H14" s="11" t="n"/>
      <c r="I14" s="10" t="n"/>
      <c r="J14" s="14" t="n"/>
      <c r="K14" s="14">
        <f>IF(AND(I14&lt;&gt;"",J14&lt;&gt;""),I14*J14,"")</f>
        <v/>
      </c>
      <c r="L14" s="11" t="n"/>
      <c r="M14" s="11" t="n"/>
      <c r="N14" s="11" t="n"/>
      <c r="O14" s="11" t="n"/>
      <c r="P14" s="11" t="n"/>
      <c r="Q14" s="11" t="n"/>
      <c r="R14" s="12" t="n"/>
      <c r="S14" s="12" t="n"/>
      <c r="T14" s="12" t="n"/>
      <c r="U14" s="11">
        <f>IF(T14&lt;&gt;"","Received",IF(AND(S14&lt;&gt;"",S14&lt;TODAY()),"⚠ Overdue","On Track"))</f>
        <v/>
      </c>
      <c r="V14" s="11" t="n"/>
    </row>
    <row r="15" ht="18" customHeight="1">
      <c r="A15" s="15">
        <f>IF(B15&lt;&gt;"",ROW()-2,"")</f>
        <v/>
      </c>
      <c r="B15" s="16" t="n"/>
      <c r="C15" s="16" t="n"/>
      <c r="D15" s="17" t="n"/>
      <c r="E15" s="17" t="n"/>
      <c r="F15" s="18">
        <f>IF(AND(D15&lt;&gt;"",E15&lt;&gt;""),E15-D15,"")</f>
        <v/>
      </c>
      <c r="G15" s="16" t="n"/>
      <c r="H15" s="16" t="n"/>
      <c r="I15" s="15" t="n"/>
      <c r="J15" s="19" t="n"/>
      <c r="K15" s="19">
        <f>IF(AND(I15&lt;&gt;"",J15&lt;&gt;""),I15*J15,"")</f>
        <v/>
      </c>
      <c r="L15" s="16" t="n"/>
      <c r="M15" s="16" t="n"/>
      <c r="N15" s="16" t="n"/>
      <c r="O15" s="16" t="n"/>
      <c r="P15" s="16" t="n"/>
      <c r="Q15" s="16" t="n"/>
      <c r="R15" s="17" t="n"/>
      <c r="S15" s="17" t="n"/>
      <c r="T15" s="17" t="n"/>
      <c r="U15" s="16">
        <f>IF(T15&lt;&gt;"","Received",IF(AND(S15&lt;&gt;"",S15&lt;TODAY()),"⚠ Overdue","On Track"))</f>
        <v/>
      </c>
      <c r="V15" s="16" t="n"/>
    </row>
    <row r="16" ht="18" customHeight="1">
      <c r="A16" s="10">
        <f>IF(B16&lt;&gt;"",ROW()-2,"")</f>
        <v/>
      </c>
      <c r="B16" s="11" t="n"/>
      <c r="C16" s="11" t="n"/>
      <c r="D16" s="12" t="n"/>
      <c r="E16" s="12" t="n"/>
      <c r="F16" s="13">
        <f>IF(AND(D16&lt;&gt;"",E16&lt;&gt;""),E16-D16,"")</f>
        <v/>
      </c>
      <c r="G16" s="11" t="n"/>
      <c r="H16" s="11" t="n"/>
      <c r="I16" s="10" t="n"/>
      <c r="J16" s="14" t="n"/>
      <c r="K16" s="14">
        <f>IF(AND(I16&lt;&gt;"",J16&lt;&gt;""),I16*J16,"")</f>
        <v/>
      </c>
      <c r="L16" s="11" t="n"/>
      <c r="M16" s="11" t="n"/>
      <c r="N16" s="11" t="n"/>
      <c r="O16" s="11" t="n"/>
      <c r="P16" s="11" t="n"/>
      <c r="Q16" s="11" t="n"/>
      <c r="R16" s="12" t="n"/>
      <c r="S16" s="12" t="n"/>
      <c r="T16" s="12" t="n"/>
      <c r="U16" s="11">
        <f>IF(T16&lt;&gt;"","Received",IF(AND(S16&lt;&gt;"",S16&lt;TODAY()),"⚠ Overdue","On Track"))</f>
        <v/>
      </c>
      <c r="V16" s="11" t="n"/>
    </row>
    <row r="17" ht="18" customHeight="1">
      <c r="A17" s="15">
        <f>IF(B17&lt;&gt;"",ROW()-2,"")</f>
        <v/>
      </c>
      <c r="B17" s="16" t="n"/>
      <c r="C17" s="16" t="n"/>
      <c r="D17" s="17" t="n"/>
      <c r="E17" s="17" t="n"/>
      <c r="F17" s="18">
        <f>IF(AND(D17&lt;&gt;"",E17&lt;&gt;""),E17-D17,"")</f>
        <v/>
      </c>
      <c r="G17" s="16" t="n"/>
      <c r="H17" s="16" t="n"/>
      <c r="I17" s="15" t="n"/>
      <c r="J17" s="19" t="n"/>
      <c r="K17" s="19">
        <f>IF(AND(I17&lt;&gt;"",J17&lt;&gt;""),I17*J17,"")</f>
        <v/>
      </c>
      <c r="L17" s="16" t="n"/>
      <c r="M17" s="16" t="n"/>
      <c r="N17" s="16" t="n"/>
      <c r="O17" s="16" t="n"/>
      <c r="P17" s="16" t="n"/>
      <c r="Q17" s="16" t="n"/>
      <c r="R17" s="17" t="n"/>
      <c r="S17" s="17" t="n"/>
      <c r="T17" s="17" t="n"/>
      <c r="U17" s="16">
        <f>IF(T17&lt;&gt;"","Received",IF(AND(S17&lt;&gt;"",S17&lt;TODAY()),"⚠ Overdue","On Track"))</f>
        <v/>
      </c>
      <c r="V17" s="16" t="n"/>
    </row>
    <row r="18" ht="18" customHeight="1">
      <c r="A18" s="10">
        <f>IF(B18&lt;&gt;"",ROW()-2,"")</f>
        <v/>
      </c>
      <c r="B18" s="11" t="n"/>
      <c r="C18" s="11" t="n"/>
      <c r="D18" s="12" t="n"/>
      <c r="E18" s="12" t="n"/>
      <c r="F18" s="13">
        <f>IF(AND(D18&lt;&gt;"",E18&lt;&gt;""),E18-D18,"")</f>
        <v/>
      </c>
      <c r="G18" s="11" t="n"/>
      <c r="H18" s="11" t="n"/>
      <c r="I18" s="10" t="n"/>
      <c r="J18" s="14" t="n"/>
      <c r="K18" s="14">
        <f>IF(AND(I18&lt;&gt;"",J18&lt;&gt;""),I18*J18,"")</f>
        <v/>
      </c>
      <c r="L18" s="11" t="n"/>
      <c r="M18" s="11" t="n"/>
      <c r="N18" s="11" t="n"/>
      <c r="O18" s="11" t="n"/>
      <c r="P18" s="11" t="n"/>
      <c r="Q18" s="11" t="n"/>
      <c r="R18" s="12" t="n"/>
      <c r="S18" s="12" t="n"/>
      <c r="T18" s="12" t="n"/>
      <c r="U18" s="11">
        <f>IF(T18&lt;&gt;"","Received",IF(AND(S18&lt;&gt;"",S18&lt;TODAY()),"⚠ Overdue","On Track"))</f>
        <v/>
      </c>
      <c r="V18" s="11" t="n"/>
    </row>
    <row r="19" ht="18" customHeight="1">
      <c r="A19" s="15">
        <f>IF(B19&lt;&gt;"",ROW()-2,"")</f>
        <v/>
      </c>
      <c r="B19" s="16" t="n"/>
      <c r="C19" s="16" t="n"/>
      <c r="D19" s="17" t="n"/>
      <c r="E19" s="17" t="n"/>
      <c r="F19" s="18">
        <f>IF(AND(D19&lt;&gt;"",E19&lt;&gt;""),E19-D19,"")</f>
        <v/>
      </c>
      <c r="G19" s="16" t="n"/>
      <c r="H19" s="16" t="n"/>
      <c r="I19" s="15" t="n"/>
      <c r="J19" s="19" t="n"/>
      <c r="K19" s="19">
        <f>IF(AND(I19&lt;&gt;"",J19&lt;&gt;""),I19*J19,"")</f>
        <v/>
      </c>
      <c r="L19" s="16" t="n"/>
      <c r="M19" s="16" t="n"/>
      <c r="N19" s="16" t="n"/>
      <c r="O19" s="16" t="n"/>
      <c r="P19" s="16" t="n"/>
      <c r="Q19" s="16" t="n"/>
      <c r="R19" s="17" t="n"/>
      <c r="S19" s="17" t="n"/>
      <c r="T19" s="17" t="n"/>
      <c r="U19" s="16">
        <f>IF(T19&lt;&gt;"","Received",IF(AND(S19&lt;&gt;"",S19&lt;TODAY()),"⚠ Overdue","On Track"))</f>
        <v/>
      </c>
      <c r="V19" s="16" t="n"/>
    </row>
    <row r="20" ht="18" customHeight="1">
      <c r="A20" s="10">
        <f>IF(B20&lt;&gt;"",ROW()-2,"")</f>
        <v/>
      </c>
      <c r="B20" s="11" t="n"/>
      <c r="C20" s="11" t="n"/>
      <c r="D20" s="12" t="n"/>
      <c r="E20" s="12" t="n"/>
      <c r="F20" s="13">
        <f>IF(AND(D20&lt;&gt;"",E20&lt;&gt;""),E20-D20,"")</f>
        <v/>
      </c>
      <c r="G20" s="11" t="n"/>
      <c r="H20" s="11" t="n"/>
      <c r="I20" s="10" t="n"/>
      <c r="J20" s="14" t="n"/>
      <c r="K20" s="14">
        <f>IF(AND(I20&lt;&gt;"",J20&lt;&gt;""),I20*J20,"")</f>
        <v/>
      </c>
      <c r="L20" s="11" t="n"/>
      <c r="M20" s="11" t="n"/>
      <c r="N20" s="11" t="n"/>
      <c r="O20" s="11" t="n"/>
      <c r="P20" s="11" t="n"/>
      <c r="Q20" s="11" t="n"/>
      <c r="R20" s="12" t="n"/>
      <c r="S20" s="12" t="n"/>
      <c r="T20" s="12" t="n"/>
      <c r="U20" s="11">
        <f>IF(T20&lt;&gt;"","Received",IF(AND(S20&lt;&gt;"",S20&lt;TODAY()),"⚠ Overdue","On Track"))</f>
        <v/>
      </c>
      <c r="V20" s="11" t="n"/>
    </row>
    <row r="21" ht="18" customHeight="1">
      <c r="A21" s="15">
        <f>IF(B21&lt;&gt;"",ROW()-2,"")</f>
        <v/>
      </c>
      <c r="B21" s="16" t="n"/>
      <c r="C21" s="16" t="n"/>
      <c r="D21" s="17" t="n"/>
      <c r="E21" s="17" t="n"/>
      <c r="F21" s="18">
        <f>IF(AND(D21&lt;&gt;"",E21&lt;&gt;""),E21-D21,"")</f>
        <v/>
      </c>
      <c r="G21" s="16" t="n"/>
      <c r="H21" s="16" t="n"/>
      <c r="I21" s="15" t="n"/>
      <c r="J21" s="19" t="n"/>
      <c r="K21" s="19">
        <f>IF(AND(I21&lt;&gt;"",J21&lt;&gt;""),I21*J21,"")</f>
        <v/>
      </c>
      <c r="L21" s="16" t="n"/>
      <c r="M21" s="16" t="n"/>
      <c r="N21" s="16" t="n"/>
      <c r="O21" s="16" t="n"/>
      <c r="P21" s="16" t="n"/>
      <c r="Q21" s="16" t="n"/>
      <c r="R21" s="17" t="n"/>
      <c r="S21" s="17" t="n"/>
      <c r="T21" s="17" t="n"/>
      <c r="U21" s="16">
        <f>IF(T21&lt;&gt;"","Received",IF(AND(S21&lt;&gt;"",S21&lt;TODAY()),"⚠ Overdue","On Track"))</f>
        <v/>
      </c>
      <c r="V21" s="16" t="n"/>
    </row>
    <row r="22" ht="18" customHeight="1">
      <c r="A22" s="10">
        <f>IF(B22&lt;&gt;"",ROW()-2,"")</f>
        <v/>
      </c>
      <c r="B22" s="11" t="n"/>
      <c r="C22" s="11" t="n"/>
      <c r="D22" s="12" t="n"/>
      <c r="E22" s="12" t="n"/>
      <c r="F22" s="13">
        <f>IF(AND(D22&lt;&gt;"",E22&lt;&gt;""),E22-D22,"")</f>
        <v/>
      </c>
      <c r="G22" s="11" t="n"/>
      <c r="H22" s="11" t="n"/>
      <c r="I22" s="10" t="n"/>
      <c r="J22" s="14" t="n"/>
      <c r="K22" s="14">
        <f>IF(AND(I22&lt;&gt;"",J22&lt;&gt;""),I22*J22,"")</f>
        <v/>
      </c>
      <c r="L22" s="11" t="n"/>
      <c r="M22" s="11" t="n"/>
      <c r="N22" s="11" t="n"/>
      <c r="O22" s="11" t="n"/>
      <c r="P22" s="11" t="n"/>
      <c r="Q22" s="11" t="n"/>
      <c r="R22" s="12" t="n"/>
      <c r="S22" s="12" t="n"/>
      <c r="T22" s="12" t="n"/>
      <c r="U22" s="11">
        <f>IF(T22&lt;&gt;"","Received",IF(AND(S22&lt;&gt;"",S22&lt;TODAY()),"⚠ Overdue","On Track"))</f>
        <v/>
      </c>
      <c r="V22" s="11" t="n"/>
    </row>
    <row r="23" ht="18" customHeight="1">
      <c r="A23" s="15">
        <f>IF(B23&lt;&gt;"",ROW()-2,"")</f>
        <v/>
      </c>
      <c r="B23" s="16" t="n"/>
      <c r="C23" s="16" t="n"/>
      <c r="D23" s="17" t="n"/>
      <c r="E23" s="17" t="n"/>
      <c r="F23" s="18">
        <f>IF(AND(D23&lt;&gt;"",E23&lt;&gt;""),E23-D23,"")</f>
        <v/>
      </c>
      <c r="G23" s="16" t="n"/>
      <c r="H23" s="16" t="n"/>
      <c r="I23" s="15" t="n"/>
      <c r="J23" s="19" t="n"/>
      <c r="K23" s="19">
        <f>IF(AND(I23&lt;&gt;"",J23&lt;&gt;""),I23*J23,"")</f>
        <v/>
      </c>
      <c r="L23" s="16" t="n"/>
      <c r="M23" s="16" t="n"/>
      <c r="N23" s="16" t="n"/>
      <c r="O23" s="16" t="n"/>
      <c r="P23" s="16" t="n"/>
      <c r="Q23" s="16" t="n"/>
      <c r="R23" s="17" t="n"/>
      <c r="S23" s="17" t="n"/>
      <c r="T23" s="17" t="n"/>
      <c r="U23" s="16">
        <f>IF(T23&lt;&gt;"","Received",IF(AND(S23&lt;&gt;"",S23&lt;TODAY()),"⚠ Overdue","On Track"))</f>
        <v/>
      </c>
      <c r="V23" s="16" t="n"/>
    </row>
    <row r="24" ht="18" customHeight="1">
      <c r="A24" s="10">
        <f>IF(B24&lt;&gt;"",ROW()-2,"")</f>
        <v/>
      </c>
      <c r="B24" s="11" t="n"/>
      <c r="C24" s="11" t="n"/>
      <c r="D24" s="12" t="n"/>
      <c r="E24" s="12" t="n"/>
      <c r="F24" s="13">
        <f>IF(AND(D24&lt;&gt;"",E24&lt;&gt;""),E24-D24,"")</f>
        <v/>
      </c>
      <c r="G24" s="11" t="n"/>
      <c r="H24" s="11" t="n"/>
      <c r="I24" s="10" t="n"/>
      <c r="J24" s="14" t="n"/>
      <c r="K24" s="14">
        <f>IF(AND(I24&lt;&gt;"",J24&lt;&gt;""),I24*J24,"")</f>
        <v/>
      </c>
      <c r="L24" s="11" t="n"/>
      <c r="M24" s="11" t="n"/>
      <c r="N24" s="11" t="n"/>
      <c r="O24" s="11" t="n"/>
      <c r="P24" s="11" t="n"/>
      <c r="Q24" s="11" t="n"/>
      <c r="R24" s="12" t="n"/>
      <c r="S24" s="12" t="n"/>
      <c r="T24" s="12" t="n"/>
      <c r="U24" s="11">
        <f>IF(T24&lt;&gt;"","Received",IF(AND(S24&lt;&gt;"",S24&lt;TODAY()),"⚠ Overdue","On Track"))</f>
        <v/>
      </c>
      <c r="V24" s="11" t="n"/>
    </row>
    <row r="25" ht="18" customHeight="1">
      <c r="A25" s="15">
        <f>IF(B25&lt;&gt;"",ROW()-2,"")</f>
        <v/>
      </c>
      <c r="B25" s="16" t="n"/>
      <c r="C25" s="16" t="n"/>
      <c r="D25" s="17" t="n"/>
      <c r="E25" s="17" t="n"/>
      <c r="F25" s="18">
        <f>IF(AND(D25&lt;&gt;"",E25&lt;&gt;""),E25-D25,"")</f>
        <v/>
      </c>
      <c r="G25" s="16" t="n"/>
      <c r="H25" s="16" t="n"/>
      <c r="I25" s="15" t="n"/>
      <c r="J25" s="19" t="n"/>
      <c r="K25" s="19">
        <f>IF(AND(I25&lt;&gt;"",J25&lt;&gt;""),I25*J25,"")</f>
        <v/>
      </c>
      <c r="L25" s="16" t="n"/>
      <c r="M25" s="16" t="n"/>
      <c r="N25" s="16" t="n"/>
      <c r="O25" s="16" t="n"/>
      <c r="P25" s="16" t="n"/>
      <c r="Q25" s="16" t="n"/>
      <c r="R25" s="17" t="n"/>
      <c r="S25" s="17" t="n"/>
      <c r="T25" s="17" t="n"/>
      <c r="U25" s="16">
        <f>IF(T25&lt;&gt;"","Received",IF(AND(S25&lt;&gt;"",S25&lt;TODAY()),"⚠ Overdue","On Track"))</f>
        <v/>
      </c>
      <c r="V25" s="16" t="n"/>
    </row>
    <row r="26" ht="18" customHeight="1">
      <c r="A26" s="10">
        <f>IF(B26&lt;&gt;"",ROW()-2,"")</f>
        <v/>
      </c>
      <c r="B26" s="11" t="n"/>
      <c r="C26" s="11" t="n"/>
      <c r="D26" s="12" t="n"/>
      <c r="E26" s="12" t="n"/>
      <c r="F26" s="13">
        <f>IF(AND(D26&lt;&gt;"",E26&lt;&gt;""),E26-D26,"")</f>
        <v/>
      </c>
      <c r="G26" s="11" t="n"/>
      <c r="H26" s="11" t="n"/>
      <c r="I26" s="10" t="n"/>
      <c r="J26" s="14" t="n"/>
      <c r="K26" s="14">
        <f>IF(AND(I26&lt;&gt;"",J26&lt;&gt;""),I26*J26,"")</f>
        <v/>
      </c>
      <c r="L26" s="11" t="n"/>
      <c r="M26" s="11" t="n"/>
      <c r="N26" s="11" t="n"/>
      <c r="O26" s="11" t="n"/>
      <c r="P26" s="11" t="n"/>
      <c r="Q26" s="11" t="n"/>
      <c r="R26" s="12" t="n"/>
      <c r="S26" s="12" t="n"/>
      <c r="T26" s="12" t="n"/>
      <c r="U26" s="11">
        <f>IF(T26&lt;&gt;"","Received",IF(AND(S26&lt;&gt;"",S26&lt;TODAY()),"⚠ Overdue","On Track"))</f>
        <v/>
      </c>
      <c r="V26" s="11" t="n"/>
    </row>
    <row r="27" ht="18" customHeight="1">
      <c r="A27" s="15">
        <f>IF(B27&lt;&gt;"",ROW()-2,"")</f>
        <v/>
      </c>
      <c r="B27" s="16" t="n"/>
      <c r="C27" s="16" t="n"/>
      <c r="D27" s="17" t="n"/>
      <c r="E27" s="17" t="n"/>
      <c r="F27" s="18">
        <f>IF(AND(D27&lt;&gt;"",E27&lt;&gt;""),E27-D27,"")</f>
        <v/>
      </c>
      <c r="G27" s="16" t="n"/>
      <c r="H27" s="16" t="n"/>
      <c r="I27" s="15" t="n"/>
      <c r="J27" s="19" t="n"/>
      <c r="K27" s="19">
        <f>IF(AND(I27&lt;&gt;"",J27&lt;&gt;""),I27*J27,"")</f>
        <v/>
      </c>
      <c r="L27" s="16" t="n"/>
      <c r="M27" s="16" t="n"/>
      <c r="N27" s="16" t="n"/>
      <c r="O27" s="16" t="n"/>
      <c r="P27" s="16" t="n"/>
      <c r="Q27" s="16" t="n"/>
      <c r="R27" s="17" t="n"/>
      <c r="S27" s="17" t="n"/>
      <c r="T27" s="17" t="n"/>
      <c r="U27" s="16">
        <f>IF(T27&lt;&gt;"","Received",IF(AND(S27&lt;&gt;"",S27&lt;TODAY()),"⚠ Overdue","On Track"))</f>
        <v/>
      </c>
      <c r="V27" s="16" t="n"/>
    </row>
    <row r="28" ht="18" customHeight="1">
      <c r="A28" s="10">
        <f>IF(B28&lt;&gt;"",ROW()-2,"")</f>
        <v/>
      </c>
      <c r="B28" s="11" t="n"/>
      <c r="C28" s="11" t="n"/>
      <c r="D28" s="12" t="n"/>
      <c r="E28" s="12" t="n"/>
      <c r="F28" s="13">
        <f>IF(AND(D28&lt;&gt;"",E28&lt;&gt;""),E28-D28,"")</f>
        <v/>
      </c>
      <c r="G28" s="11" t="n"/>
      <c r="H28" s="11" t="n"/>
      <c r="I28" s="10" t="n"/>
      <c r="J28" s="14" t="n"/>
      <c r="K28" s="14">
        <f>IF(AND(I28&lt;&gt;"",J28&lt;&gt;""),I28*J28,"")</f>
        <v/>
      </c>
      <c r="L28" s="11" t="n"/>
      <c r="M28" s="11" t="n"/>
      <c r="N28" s="11" t="n"/>
      <c r="O28" s="11" t="n"/>
      <c r="P28" s="11" t="n"/>
      <c r="Q28" s="11" t="n"/>
      <c r="R28" s="12" t="n"/>
      <c r="S28" s="12" t="n"/>
      <c r="T28" s="12" t="n"/>
      <c r="U28" s="11">
        <f>IF(T28&lt;&gt;"","Received",IF(AND(S28&lt;&gt;"",S28&lt;TODAY()),"⚠ Overdue","On Track"))</f>
        <v/>
      </c>
      <c r="V28" s="11" t="n"/>
    </row>
    <row r="29" ht="18" customHeight="1">
      <c r="A29" s="15">
        <f>IF(B29&lt;&gt;"",ROW()-2,"")</f>
        <v/>
      </c>
      <c r="B29" s="16" t="n"/>
      <c r="C29" s="16" t="n"/>
      <c r="D29" s="17" t="n"/>
      <c r="E29" s="17" t="n"/>
      <c r="F29" s="18">
        <f>IF(AND(D29&lt;&gt;"",E29&lt;&gt;""),E29-D29,"")</f>
        <v/>
      </c>
      <c r="G29" s="16" t="n"/>
      <c r="H29" s="16" t="n"/>
      <c r="I29" s="15" t="n"/>
      <c r="J29" s="19" t="n"/>
      <c r="K29" s="19">
        <f>IF(AND(I29&lt;&gt;"",J29&lt;&gt;""),I29*J29,"")</f>
        <v/>
      </c>
      <c r="L29" s="16" t="n"/>
      <c r="M29" s="16" t="n"/>
      <c r="N29" s="16" t="n"/>
      <c r="O29" s="16" t="n"/>
      <c r="P29" s="16" t="n"/>
      <c r="Q29" s="16" t="n"/>
      <c r="R29" s="17" t="n"/>
      <c r="S29" s="17" t="n"/>
      <c r="T29" s="17" t="n"/>
      <c r="U29" s="16">
        <f>IF(T29&lt;&gt;"","Received",IF(AND(S29&lt;&gt;"",S29&lt;TODAY()),"⚠ Overdue","On Track"))</f>
        <v/>
      </c>
      <c r="V29" s="16" t="n"/>
    </row>
    <row r="30" ht="18" customHeight="1">
      <c r="A30" s="10">
        <f>IF(B30&lt;&gt;"",ROW()-2,"")</f>
        <v/>
      </c>
      <c r="B30" s="11" t="n"/>
      <c r="C30" s="11" t="n"/>
      <c r="D30" s="12" t="n"/>
      <c r="E30" s="12" t="n"/>
      <c r="F30" s="13">
        <f>IF(AND(D30&lt;&gt;"",E30&lt;&gt;""),E30-D30,"")</f>
        <v/>
      </c>
      <c r="G30" s="11" t="n"/>
      <c r="H30" s="11" t="n"/>
      <c r="I30" s="10" t="n"/>
      <c r="J30" s="14" t="n"/>
      <c r="K30" s="14">
        <f>IF(AND(I30&lt;&gt;"",J30&lt;&gt;""),I30*J30,"")</f>
        <v/>
      </c>
      <c r="L30" s="11" t="n"/>
      <c r="M30" s="11" t="n"/>
      <c r="N30" s="11" t="n"/>
      <c r="O30" s="11" t="n"/>
      <c r="P30" s="11" t="n"/>
      <c r="Q30" s="11" t="n"/>
      <c r="R30" s="12" t="n"/>
      <c r="S30" s="12" t="n"/>
      <c r="T30" s="12" t="n"/>
      <c r="U30" s="11">
        <f>IF(T30&lt;&gt;"","Received",IF(AND(S30&lt;&gt;"",S30&lt;TODAY()),"⚠ Overdue","On Track"))</f>
        <v/>
      </c>
      <c r="V30" s="11" t="n"/>
    </row>
    <row r="31" ht="18" customHeight="1">
      <c r="A31" s="15">
        <f>IF(B31&lt;&gt;"",ROW()-2,"")</f>
        <v/>
      </c>
      <c r="B31" s="16" t="n"/>
      <c r="C31" s="16" t="n"/>
      <c r="D31" s="17" t="n"/>
      <c r="E31" s="17" t="n"/>
      <c r="F31" s="18">
        <f>IF(AND(D31&lt;&gt;"",E31&lt;&gt;""),E31-D31,"")</f>
        <v/>
      </c>
      <c r="G31" s="16" t="n"/>
      <c r="H31" s="16" t="n"/>
      <c r="I31" s="15" t="n"/>
      <c r="J31" s="19" t="n"/>
      <c r="K31" s="19">
        <f>IF(AND(I31&lt;&gt;"",J31&lt;&gt;""),I31*J31,"")</f>
        <v/>
      </c>
      <c r="L31" s="16" t="n"/>
      <c r="M31" s="16" t="n"/>
      <c r="N31" s="16" t="n"/>
      <c r="O31" s="16" t="n"/>
      <c r="P31" s="16" t="n"/>
      <c r="Q31" s="16" t="n"/>
      <c r="R31" s="17" t="n"/>
      <c r="S31" s="17" t="n"/>
      <c r="T31" s="17" t="n"/>
      <c r="U31" s="16">
        <f>IF(T31&lt;&gt;"","Received",IF(AND(S31&lt;&gt;"",S31&lt;TODAY()),"⚠ Overdue","On Track"))</f>
        <v/>
      </c>
      <c r="V31" s="16" t="n"/>
    </row>
    <row r="32" ht="18" customHeight="1">
      <c r="A32" s="10">
        <f>IF(B32&lt;&gt;"",ROW()-2,"")</f>
        <v/>
      </c>
      <c r="B32" s="11" t="n"/>
      <c r="C32" s="11" t="n"/>
      <c r="D32" s="12" t="n"/>
      <c r="E32" s="12" t="n"/>
      <c r="F32" s="13">
        <f>IF(AND(D32&lt;&gt;"",E32&lt;&gt;""),E32-D32,"")</f>
        <v/>
      </c>
      <c r="G32" s="11" t="n"/>
      <c r="H32" s="11" t="n"/>
      <c r="I32" s="10" t="n"/>
      <c r="J32" s="14" t="n"/>
      <c r="K32" s="14">
        <f>IF(AND(I32&lt;&gt;"",J32&lt;&gt;""),I32*J32,"")</f>
        <v/>
      </c>
      <c r="L32" s="11" t="n"/>
      <c r="M32" s="11" t="n"/>
      <c r="N32" s="11" t="n"/>
      <c r="O32" s="11" t="n"/>
      <c r="P32" s="11" t="n"/>
      <c r="Q32" s="11" t="n"/>
      <c r="R32" s="12" t="n"/>
      <c r="S32" s="12" t="n"/>
      <c r="T32" s="12" t="n"/>
      <c r="U32" s="11">
        <f>IF(T32&lt;&gt;"","Received",IF(AND(S32&lt;&gt;"",S32&lt;TODAY()),"⚠ Overdue","On Track"))</f>
        <v/>
      </c>
      <c r="V32" s="11" t="n"/>
    </row>
    <row r="33" ht="18" customHeight="1">
      <c r="A33" s="15">
        <f>IF(B33&lt;&gt;"",ROW()-2,"")</f>
        <v/>
      </c>
      <c r="B33" s="16" t="n"/>
      <c r="C33" s="16" t="n"/>
      <c r="D33" s="17" t="n"/>
      <c r="E33" s="17" t="n"/>
      <c r="F33" s="18">
        <f>IF(AND(D33&lt;&gt;"",E33&lt;&gt;""),E33-D33,"")</f>
        <v/>
      </c>
      <c r="G33" s="16" t="n"/>
      <c r="H33" s="16" t="n"/>
      <c r="I33" s="15" t="n"/>
      <c r="J33" s="19" t="n"/>
      <c r="K33" s="19">
        <f>IF(AND(I33&lt;&gt;"",J33&lt;&gt;""),I33*J33,"")</f>
        <v/>
      </c>
      <c r="L33" s="16" t="n"/>
      <c r="M33" s="16" t="n"/>
      <c r="N33" s="16" t="n"/>
      <c r="O33" s="16" t="n"/>
      <c r="P33" s="16" t="n"/>
      <c r="Q33" s="16" t="n"/>
      <c r="R33" s="17" t="n"/>
      <c r="S33" s="17" t="n"/>
      <c r="T33" s="17" t="n"/>
      <c r="U33" s="16">
        <f>IF(T33&lt;&gt;"","Received",IF(AND(S33&lt;&gt;"",S33&lt;TODAY()),"⚠ Overdue","On Track"))</f>
        <v/>
      </c>
      <c r="V33" s="16" t="n"/>
    </row>
    <row r="34" ht="18" customHeight="1">
      <c r="A34" s="10">
        <f>IF(B34&lt;&gt;"",ROW()-2,"")</f>
        <v/>
      </c>
      <c r="B34" s="11" t="n"/>
      <c r="C34" s="11" t="n"/>
      <c r="D34" s="12" t="n"/>
      <c r="E34" s="12" t="n"/>
      <c r="F34" s="13">
        <f>IF(AND(D34&lt;&gt;"",E34&lt;&gt;""),E34-D34,"")</f>
        <v/>
      </c>
      <c r="G34" s="11" t="n"/>
      <c r="H34" s="11" t="n"/>
      <c r="I34" s="10" t="n"/>
      <c r="J34" s="14" t="n"/>
      <c r="K34" s="14">
        <f>IF(AND(I34&lt;&gt;"",J34&lt;&gt;""),I34*J34,"")</f>
        <v/>
      </c>
      <c r="L34" s="11" t="n"/>
      <c r="M34" s="11" t="n"/>
      <c r="N34" s="11" t="n"/>
      <c r="O34" s="11" t="n"/>
      <c r="P34" s="11" t="n"/>
      <c r="Q34" s="11" t="n"/>
      <c r="R34" s="12" t="n"/>
      <c r="S34" s="12" t="n"/>
      <c r="T34" s="12" t="n"/>
      <c r="U34" s="11">
        <f>IF(T34&lt;&gt;"","Received",IF(AND(S34&lt;&gt;"",S34&lt;TODAY()),"⚠ Overdue","On Track"))</f>
        <v/>
      </c>
      <c r="V34" s="11" t="n"/>
    </row>
    <row r="35" ht="18" customHeight="1">
      <c r="A35" s="15">
        <f>IF(B35&lt;&gt;"",ROW()-2,"")</f>
        <v/>
      </c>
      <c r="B35" s="16" t="n"/>
      <c r="C35" s="16" t="n"/>
      <c r="D35" s="17" t="n"/>
      <c r="E35" s="17" t="n"/>
      <c r="F35" s="18">
        <f>IF(AND(D35&lt;&gt;"",E35&lt;&gt;""),E35-D35,"")</f>
        <v/>
      </c>
      <c r="G35" s="16" t="n"/>
      <c r="H35" s="16" t="n"/>
      <c r="I35" s="15" t="n"/>
      <c r="J35" s="19" t="n"/>
      <c r="K35" s="19">
        <f>IF(AND(I35&lt;&gt;"",J35&lt;&gt;""),I35*J35,"")</f>
        <v/>
      </c>
      <c r="L35" s="16" t="n"/>
      <c r="M35" s="16" t="n"/>
      <c r="N35" s="16" t="n"/>
      <c r="O35" s="16" t="n"/>
      <c r="P35" s="16" t="n"/>
      <c r="Q35" s="16" t="n"/>
      <c r="R35" s="17" t="n"/>
      <c r="S35" s="17" t="n"/>
      <c r="T35" s="17" t="n"/>
      <c r="U35" s="16">
        <f>IF(T35&lt;&gt;"","Received",IF(AND(S35&lt;&gt;"",S35&lt;TODAY()),"⚠ Overdue","On Track"))</f>
        <v/>
      </c>
      <c r="V35" s="16" t="n"/>
    </row>
    <row r="36" ht="18" customHeight="1">
      <c r="A36" s="10">
        <f>IF(B36&lt;&gt;"",ROW()-2,"")</f>
        <v/>
      </c>
      <c r="B36" s="11" t="n"/>
      <c r="C36" s="11" t="n"/>
      <c r="D36" s="12" t="n"/>
      <c r="E36" s="12" t="n"/>
      <c r="F36" s="13">
        <f>IF(AND(D36&lt;&gt;"",E36&lt;&gt;""),E36-D36,"")</f>
        <v/>
      </c>
      <c r="G36" s="11" t="n"/>
      <c r="H36" s="11" t="n"/>
      <c r="I36" s="10" t="n"/>
      <c r="J36" s="14" t="n"/>
      <c r="K36" s="14">
        <f>IF(AND(I36&lt;&gt;"",J36&lt;&gt;""),I36*J36,"")</f>
        <v/>
      </c>
      <c r="L36" s="11" t="n"/>
      <c r="M36" s="11" t="n"/>
      <c r="N36" s="11" t="n"/>
      <c r="O36" s="11" t="n"/>
      <c r="P36" s="11" t="n"/>
      <c r="Q36" s="11" t="n"/>
      <c r="R36" s="12" t="n"/>
      <c r="S36" s="12" t="n"/>
      <c r="T36" s="12" t="n"/>
      <c r="U36" s="11">
        <f>IF(T36&lt;&gt;"","Received",IF(AND(S36&lt;&gt;"",S36&lt;TODAY()),"⚠ Overdue","On Track"))</f>
        <v/>
      </c>
      <c r="V36" s="11" t="n"/>
    </row>
    <row r="37" ht="18" customHeight="1">
      <c r="A37" s="15">
        <f>IF(B37&lt;&gt;"",ROW()-2,"")</f>
        <v/>
      </c>
      <c r="B37" s="16" t="n"/>
      <c r="C37" s="16" t="n"/>
      <c r="D37" s="17" t="n"/>
      <c r="E37" s="17" t="n"/>
      <c r="F37" s="18">
        <f>IF(AND(D37&lt;&gt;"",E37&lt;&gt;""),E37-D37,"")</f>
        <v/>
      </c>
      <c r="G37" s="16" t="n"/>
      <c r="H37" s="16" t="n"/>
      <c r="I37" s="15" t="n"/>
      <c r="J37" s="19" t="n"/>
      <c r="K37" s="19">
        <f>IF(AND(I37&lt;&gt;"",J37&lt;&gt;""),I37*J37,"")</f>
        <v/>
      </c>
      <c r="L37" s="16" t="n"/>
      <c r="M37" s="16" t="n"/>
      <c r="N37" s="16" t="n"/>
      <c r="O37" s="16" t="n"/>
      <c r="P37" s="16" t="n"/>
      <c r="Q37" s="16" t="n"/>
      <c r="R37" s="17" t="n"/>
      <c r="S37" s="17" t="n"/>
      <c r="T37" s="17" t="n"/>
      <c r="U37" s="16">
        <f>IF(T37&lt;&gt;"","Received",IF(AND(S37&lt;&gt;"",S37&lt;TODAY()),"⚠ Overdue","On Track"))</f>
        <v/>
      </c>
      <c r="V37" s="16" t="n"/>
    </row>
    <row r="38" ht="18" customHeight="1">
      <c r="A38" s="10">
        <f>IF(B38&lt;&gt;"",ROW()-2,"")</f>
        <v/>
      </c>
      <c r="B38" s="11" t="n"/>
      <c r="C38" s="11" t="n"/>
      <c r="D38" s="12" t="n"/>
      <c r="E38" s="12" t="n"/>
      <c r="F38" s="13">
        <f>IF(AND(D38&lt;&gt;"",E38&lt;&gt;""),E38-D38,"")</f>
        <v/>
      </c>
      <c r="G38" s="11" t="n"/>
      <c r="H38" s="11" t="n"/>
      <c r="I38" s="10" t="n"/>
      <c r="J38" s="14" t="n"/>
      <c r="K38" s="14">
        <f>IF(AND(I38&lt;&gt;"",J38&lt;&gt;""),I38*J38,"")</f>
        <v/>
      </c>
      <c r="L38" s="11" t="n"/>
      <c r="M38" s="11" t="n"/>
      <c r="N38" s="11" t="n"/>
      <c r="O38" s="11" t="n"/>
      <c r="P38" s="11" t="n"/>
      <c r="Q38" s="11" t="n"/>
      <c r="R38" s="12" t="n"/>
      <c r="S38" s="12" t="n"/>
      <c r="T38" s="12" t="n"/>
      <c r="U38" s="11">
        <f>IF(T38&lt;&gt;"","Received",IF(AND(S38&lt;&gt;"",S38&lt;TODAY()),"⚠ Overdue","On Track"))</f>
        <v/>
      </c>
      <c r="V38" s="11" t="n"/>
    </row>
    <row r="39" ht="18" customHeight="1">
      <c r="A39" s="15">
        <f>IF(B39&lt;&gt;"",ROW()-2,"")</f>
        <v/>
      </c>
      <c r="B39" s="16" t="n"/>
      <c r="C39" s="16" t="n"/>
      <c r="D39" s="17" t="n"/>
      <c r="E39" s="17" t="n"/>
      <c r="F39" s="18">
        <f>IF(AND(D39&lt;&gt;"",E39&lt;&gt;""),E39-D39,"")</f>
        <v/>
      </c>
      <c r="G39" s="16" t="n"/>
      <c r="H39" s="16" t="n"/>
      <c r="I39" s="15" t="n"/>
      <c r="J39" s="19" t="n"/>
      <c r="K39" s="19">
        <f>IF(AND(I39&lt;&gt;"",J39&lt;&gt;""),I39*J39,"")</f>
        <v/>
      </c>
      <c r="L39" s="16" t="n"/>
      <c r="M39" s="16" t="n"/>
      <c r="N39" s="16" t="n"/>
      <c r="O39" s="16" t="n"/>
      <c r="P39" s="16" t="n"/>
      <c r="Q39" s="16" t="n"/>
      <c r="R39" s="17" t="n"/>
      <c r="S39" s="17" t="n"/>
      <c r="T39" s="17" t="n"/>
      <c r="U39" s="16">
        <f>IF(T39&lt;&gt;"","Received",IF(AND(S39&lt;&gt;"",S39&lt;TODAY()),"⚠ Overdue","On Track"))</f>
        <v/>
      </c>
      <c r="V39" s="16" t="n"/>
    </row>
    <row r="40" ht="18" customHeight="1">
      <c r="A40" s="10">
        <f>IF(B40&lt;&gt;"",ROW()-2,"")</f>
        <v/>
      </c>
      <c r="B40" s="11" t="n"/>
      <c r="C40" s="11" t="n"/>
      <c r="D40" s="12" t="n"/>
      <c r="E40" s="12" t="n"/>
      <c r="F40" s="13">
        <f>IF(AND(D40&lt;&gt;"",E40&lt;&gt;""),E40-D40,"")</f>
        <v/>
      </c>
      <c r="G40" s="11" t="n"/>
      <c r="H40" s="11" t="n"/>
      <c r="I40" s="10" t="n"/>
      <c r="J40" s="14" t="n"/>
      <c r="K40" s="14">
        <f>IF(AND(I40&lt;&gt;"",J40&lt;&gt;""),I40*J40,"")</f>
        <v/>
      </c>
      <c r="L40" s="11" t="n"/>
      <c r="M40" s="11" t="n"/>
      <c r="N40" s="11" t="n"/>
      <c r="O40" s="11" t="n"/>
      <c r="P40" s="11" t="n"/>
      <c r="Q40" s="11" t="n"/>
      <c r="R40" s="12" t="n"/>
      <c r="S40" s="12" t="n"/>
      <c r="T40" s="12" t="n"/>
      <c r="U40" s="11">
        <f>IF(T40&lt;&gt;"","Received",IF(AND(S40&lt;&gt;"",S40&lt;TODAY()),"⚠ Overdue","On Track"))</f>
        <v/>
      </c>
      <c r="V40" s="11" t="n"/>
    </row>
    <row r="41" ht="18" customHeight="1">
      <c r="A41" s="15">
        <f>IF(B41&lt;&gt;"",ROW()-2,"")</f>
        <v/>
      </c>
      <c r="B41" s="16" t="n"/>
      <c r="C41" s="16" t="n"/>
      <c r="D41" s="17" t="n"/>
      <c r="E41" s="17" t="n"/>
      <c r="F41" s="18">
        <f>IF(AND(D41&lt;&gt;"",E41&lt;&gt;""),E41-D41,"")</f>
        <v/>
      </c>
      <c r="G41" s="16" t="n"/>
      <c r="H41" s="16" t="n"/>
      <c r="I41" s="15" t="n"/>
      <c r="J41" s="19" t="n"/>
      <c r="K41" s="19">
        <f>IF(AND(I41&lt;&gt;"",J41&lt;&gt;""),I41*J41,"")</f>
        <v/>
      </c>
      <c r="L41" s="16" t="n"/>
      <c r="M41" s="16" t="n"/>
      <c r="N41" s="16" t="n"/>
      <c r="O41" s="16" t="n"/>
      <c r="P41" s="16" t="n"/>
      <c r="Q41" s="16" t="n"/>
      <c r="R41" s="17" t="n"/>
      <c r="S41" s="17" t="n"/>
      <c r="T41" s="17" t="n"/>
      <c r="U41" s="16">
        <f>IF(T41&lt;&gt;"","Received",IF(AND(S41&lt;&gt;"",S41&lt;TODAY()),"⚠ Overdue","On Track"))</f>
        <v/>
      </c>
      <c r="V41" s="16" t="n"/>
    </row>
    <row r="42" ht="18" customHeight="1">
      <c r="A42" s="10">
        <f>IF(B42&lt;&gt;"",ROW()-2,"")</f>
        <v/>
      </c>
      <c r="B42" s="11" t="n"/>
      <c r="C42" s="11" t="n"/>
      <c r="D42" s="12" t="n"/>
      <c r="E42" s="12" t="n"/>
      <c r="F42" s="13">
        <f>IF(AND(D42&lt;&gt;"",E42&lt;&gt;""),E42-D42,"")</f>
        <v/>
      </c>
      <c r="G42" s="11" t="n"/>
      <c r="H42" s="11" t="n"/>
      <c r="I42" s="10" t="n"/>
      <c r="J42" s="14" t="n"/>
      <c r="K42" s="14">
        <f>IF(AND(I42&lt;&gt;"",J42&lt;&gt;""),I42*J42,"")</f>
        <v/>
      </c>
      <c r="L42" s="11" t="n"/>
      <c r="M42" s="11" t="n"/>
      <c r="N42" s="11" t="n"/>
      <c r="O42" s="11" t="n"/>
      <c r="P42" s="11" t="n"/>
      <c r="Q42" s="11" t="n"/>
      <c r="R42" s="12" t="n"/>
      <c r="S42" s="12" t="n"/>
      <c r="T42" s="12" t="n"/>
      <c r="U42" s="11">
        <f>IF(T42&lt;&gt;"","Received",IF(AND(S42&lt;&gt;"",S42&lt;TODAY()),"⚠ Overdue","On Track"))</f>
        <v/>
      </c>
      <c r="V42" s="11" t="n"/>
    </row>
    <row r="43" ht="18" customHeight="1">
      <c r="A43" s="15">
        <f>IF(B43&lt;&gt;"",ROW()-2,"")</f>
        <v/>
      </c>
      <c r="B43" s="16" t="n"/>
      <c r="C43" s="16" t="n"/>
      <c r="D43" s="17" t="n"/>
      <c r="E43" s="17" t="n"/>
      <c r="F43" s="18">
        <f>IF(AND(D43&lt;&gt;"",E43&lt;&gt;""),E43-D43,"")</f>
        <v/>
      </c>
      <c r="G43" s="16" t="n"/>
      <c r="H43" s="16" t="n"/>
      <c r="I43" s="15" t="n"/>
      <c r="J43" s="19" t="n"/>
      <c r="K43" s="19">
        <f>IF(AND(I43&lt;&gt;"",J43&lt;&gt;""),I43*J43,"")</f>
        <v/>
      </c>
      <c r="L43" s="16" t="n"/>
      <c r="M43" s="16" t="n"/>
      <c r="N43" s="16" t="n"/>
      <c r="O43" s="16" t="n"/>
      <c r="P43" s="16" t="n"/>
      <c r="Q43" s="16" t="n"/>
      <c r="R43" s="17" t="n"/>
      <c r="S43" s="17" t="n"/>
      <c r="T43" s="17" t="n"/>
      <c r="U43" s="16">
        <f>IF(T43&lt;&gt;"","Received",IF(AND(S43&lt;&gt;"",S43&lt;TODAY()),"⚠ Overdue","On Track"))</f>
        <v/>
      </c>
      <c r="V43" s="16" t="n"/>
    </row>
    <row r="44" ht="18" customHeight="1">
      <c r="A44" s="10">
        <f>IF(B44&lt;&gt;"",ROW()-2,"")</f>
        <v/>
      </c>
      <c r="B44" s="11" t="n"/>
      <c r="C44" s="11" t="n"/>
      <c r="D44" s="12" t="n"/>
      <c r="E44" s="12" t="n"/>
      <c r="F44" s="13">
        <f>IF(AND(D44&lt;&gt;"",E44&lt;&gt;""),E44-D44,"")</f>
        <v/>
      </c>
      <c r="G44" s="11" t="n"/>
      <c r="H44" s="11" t="n"/>
      <c r="I44" s="10" t="n"/>
      <c r="J44" s="14" t="n"/>
      <c r="K44" s="14">
        <f>IF(AND(I44&lt;&gt;"",J44&lt;&gt;""),I44*J44,"")</f>
        <v/>
      </c>
      <c r="L44" s="11" t="n"/>
      <c r="M44" s="11" t="n"/>
      <c r="N44" s="11" t="n"/>
      <c r="O44" s="11" t="n"/>
      <c r="P44" s="11" t="n"/>
      <c r="Q44" s="11" t="n"/>
      <c r="R44" s="12" t="n"/>
      <c r="S44" s="12" t="n"/>
      <c r="T44" s="12" t="n"/>
      <c r="U44" s="11">
        <f>IF(T44&lt;&gt;"","Received",IF(AND(S44&lt;&gt;"",S44&lt;TODAY()),"⚠ Overdue","On Track"))</f>
        <v/>
      </c>
      <c r="V44" s="11" t="n"/>
    </row>
    <row r="45" ht="18" customHeight="1">
      <c r="A45" s="15">
        <f>IF(B45&lt;&gt;"",ROW()-2,"")</f>
        <v/>
      </c>
      <c r="B45" s="16" t="n"/>
      <c r="C45" s="16" t="n"/>
      <c r="D45" s="17" t="n"/>
      <c r="E45" s="17" t="n"/>
      <c r="F45" s="18">
        <f>IF(AND(D45&lt;&gt;"",E45&lt;&gt;""),E45-D45,"")</f>
        <v/>
      </c>
      <c r="G45" s="16" t="n"/>
      <c r="H45" s="16" t="n"/>
      <c r="I45" s="15" t="n"/>
      <c r="J45" s="19" t="n"/>
      <c r="K45" s="19">
        <f>IF(AND(I45&lt;&gt;"",J45&lt;&gt;""),I45*J45,"")</f>
        <v/>
      </c>
      <c r="L45" s="16" t="n"/>
      <c r="M45" s="16" t="n"/>
      <c r="N45" s="16" t="n"/>
      <c r="O45" s="16" t="n"/>
      <c r="P45" s="16" t="n"/>
      <c r="Q45" s="16" t="n"/>
      <c r="R45" s="17" t="n"/>
      <c r="S45" s="17" t="n"/>
      <c r="T45" s="17" t="n"/>
      <c r="U45" s="16">
        <f>IF(T45&lt;&gt;"","Received",IF(AND(S45&lt;&gt;"",S45&lt;TODAY()),"⚠ Overdue","On Track"))</f>
        <v/>
      </c>
      <c r="V45" s="16" t="n"/>
    </row>
    <row r="46" ht="18" customHeight="1">
      <c r="A46" s="10">
        <f>IF(B46&lt;&gt;"",ROW()-2,"")</f>
        <v/>
      </c>
      <c r="B46" s="11" t="n"/>
      <c r="C46" s="11" t="n"/>
      <c r="D46" s="12" t="n"/>
      <c r="E46" s="12" t="n"/>
      <c r="F46" s="13">
        <f>IF(AND(D46&lt;&gt;"",E46&lt;&gt;""),E46-D46,"")</f>
        <v/>
      </c>
      <c r="G46" s="11" t="n"/>
      <c r="H46" s="11" t="n"/>
      <c r="I46" s="10" t="n"/>
      <c r="J46" s="14" t="n"/>
      <c r="K46" s="14">
        <f>IF(AND(I46&lt;&gt;"",J46&lt;&gt;""),I46*J46,"")</f>
        <v/>
      </c>
      <c r="L46" s="11" t="n"/>
      <c r="M46" s="11" t="n"/>
      <c r="N46" s="11" t="n"/>
      <c r="O46" s="11" t="n"/>
      <c r="P46" s="11" t="n"/>
      <c r="Q46" s="11" t="n"/>
      <c r="R46" s="12" t="n"/>
      <c r="S46" s="12" t="n"/>
      <c r="T46" s="12" t="n"/>
      <c r="U46" s="11">
        <f>IF(T46&lt;&gt;"","Received",IF(AND(S46&lt;&gt;"",S46&lt;TODAY()),"⚠ Overdue","On Track"))</f>
        <v/>
      </c>
      <c r="V46" s="11" t="n"/>
    </row>
    <row r="47" ht="18" customHeight="1">
      <c r="A47" s="15">
        <f>IF(B47&lt;&gt;"",ROW()-2,"")</f>
        <v/>
      </c>
      <c r="B47" s="16" t="n"/>
      <c r="C47" s="16" t="n"/>
      <c r="D47" s="17" t="n"/>
      <c r="E47" s="17" t="n"/>
      <c r="F47" s="18">
        <f>IF(AND(D47&lt;&gt;"",E47&lt;&gt;""),E47-D47,"")</f>
        <v/>
      </c>
      <c r="G47" s="16" t="n"/>
      <c r="H47" s="16" t="n"/>
      <c r="I47" s="15" t="n"/>
      <c r="J47" s="19" t="n"/>
      <c r="K47" s="19">
        <f>IF(AND(I47&lt;&gt;"",J47&lt;&gt;""),I47*J47,"")</f>
        <v/>
      </c>
      <c r="L47" s="16" t="n"/>
      <c r="M47" s="16" t="n"/>
      <c r="N47" s="16" t="n"/>
      <c r="O47" s="16" t="n"/>
      <c r="P47" s="16" t="n"/>
      <c r="Q47" s="16" t="n"/>
      <c r="R47" s="17" t="n"/>
      <c r="S47" s="17" t="n"/>
      <c r="T47" s="17" t="n"/>
      <c r="U47" s="16">
        <f>IF(T47&lt;&gt;"","Received",IF(AND(S47&lt;&gt;"",S47&lt;TODAY()),"⚠ Overdue","On Track"))</f>
        <v/>
      </c>
      <c r="V47" s="16" t="n"/>
    </row>
    <row r="48" ht="18" customHeight="1">
      <c r="A48" s="10">
        <f>IF(B48&lt;&gt;"",ROW()-2,"")</f>
        <v/>
      </c>
      <c r="B48" s="11" t="n"/>
      <c r="C48" s="11" t="n"/>
      <c r="D48" s="12" t="n"/>
      <c r="E48" s="12" t="n"/>
      <c r="F48" s="13">
        <f>IF(AND(D48&lt;&gt;"",E48&lt;&gt;""),E48-D48,"")</f>
        <v/>
      </c>
      <c r="G48" s="11" t="n"/>
      <c r="H48" s="11" t="n"/>
      <c r="I48" s="10" t="n"/>
      <c r="J48" s="14" t="n"/>
      <c r="K48" s="14">
        <f>IF(AND(I48&lt;&gt;"",J48&lt;&gt;""),I48*J48,"")</f>
        <v/>
      </c>
      <c r="L48" s="11" t="n"/>
      <c r="M48" s="11" t="n"/>
      <c r="N48" s="11" t="n"/>
      <c r="O48" s="11" t="n"/>
      <c r="P48" s="11" t="n"/>
      <c r="Q48" s="11" t="n"/>
      <c r="R48" s="12" t="n"/>
      <c r="S48" s="12" t="n"/>
      <c r="T48" s="12" t="n"/>
      <c r="U48" s="11">
        <f>IF(T48&lt;&gt;"","Received",IF(AND(S48&lt;&gt;"",S48&lt;TODAY()),"⚠ Overdue","On Track"))</f>
        <v/>
      </c>
      <c r="V48" s="11" t="n"/>
    </row>
    <row r="49" ht="18" customHeight="1">
      <c r="A49" s="15">
        <f>IF(B49&lt;&gt;"",ROW()-2,"")</f>
        <v/>
      </c>
      <c r="B49" s="16" t="n"/>
      <c r="C49" s="16" t="n"/>
      <c r="D49" s="17" t="n"/>
      <c r="E49" s="17" t="n"/>
      <c r="F49" s="18">
        <f>IF(AND(D49&lt;&gt;"",E49&lt;&gt;""),E49-D49,"")</f>
        <v/>
      </c>
      <c r="G49" s="16" t="n"/>
      <c r="H49" s="16" t="n"/>
      <c r="I49" s="15" t="n"/>
      <c r="J49" s="19" t="n"/>
      <c r="K49" s="19">
        <f>IF(AND(I49&lt;&gt;"",J49&lt;&gt;""),I49*J49,"")</f>
        <v/>
      </c>
      <c r="L49" s="16" t="n"/>
      <c r="M49" s="16" t="n"/>
      <c r="N49" s="16" t="n"/>
      <c r="O49" s="16" t="n"/>
      <c r="P49" s="16" t="n"/>
      <c r="Q49" s="16" t="n"/>
      <c r="R49" s="17" t="n"/>
      <c r="S49" s="17" t="n"/>
      <c r="T49" s="17" t="n"/>
      <c r="U49" s="16">
        <f>IF(T49&lt;&gt;"","Received",IF(AND(S49&lt;&gt;"",S49&lt;TODAY()),"⚠ Overdue","On Track"))</f>
        <v/>
      </c>
      <c r="V49" s="16" t="n"/>
    </row>
    <row r="50" ht="18" customHeight="1">
      <c r="A50" s="10">
        <f>IF(B50&lt;&gt;"",ROW()-2,"")</f>
        <v/>
      </c>
      <c r="B50" s="11" t="n"/>
      <c r="C50" s="11" t="n"/>
      <c r="D50" s="12" t="n"/>
      <c r="E50" s="12" t="n"/>
      <c r="F50" s="13">
        <f>IF(AND(D50&lt;&gt;"",E50&lt;&gt;""),E50-D50,"")</f>
        <v/>
      </c>
      <c r="G50" s="11" t="n"/>
      <c r="H50" s="11" t="n"/>
      <c r="I50" s="10" t="n"/>
      <c r="J50" s="14" t="n"/>
      <c r="K50" s="14">
        <f>IF(AND(I50&lt;&gt;"",J50&lt;&gt;""),I50*J50,"")</f>
        <v/>
      </c>
      <c r="L50" s="11" t="n"/>
      <c r="M50" s="11" t="n"/>
      <c r="N50" s="11" t="n"/>
      <c r="O50" s="11" t="n"/>
      <c r="P50" s="11" t="n"/>
      <c r="Q50" s="11" t="n"/>
      <c r="R50" s="12" t="n"/>
      <c r="S50" s="12" t="n"/>
      <c r="T50" s="12" t="n"/>
      <c r="U50" s="11">
        <f>IF(T50&lt;&gt;"","Received",IF(AND(S50&lt;&gt;"",S50&lt;TODAY()),"⚠ Overdue","On Track"))</f>
        <v/>
      </c>
      <c r="V50" s="11" t="n"/>
    </row>
    <row r="51" ht="18" customHeight="1">
      <c r="A51" s="15">
        <f>IF(B51&lt;&gt;"",ROW()-2,"")</f>
        <v/>
      </c>
      <c r="B51" s="16" t="n"/>
      <c r="C51" s="16" t="n"/>
      <c r="D51" s="17" t="n"/>
      <c r="E51" s="17" t="n"/>
      <c r="F51" s="18">
        <f>IF(AND(D51&lt;&gt;"",E51&lt;&gt;""),E51-D51,"")</f>
        <v/>
      </c>
      <c r="G51" s="16" t="n"/>
      <c r="H51" s="16" t="n"/>
      <c r="I51" s="15" t="n"/>
      <c r="J51" s="19" t="n"/>
      <c r="K51" s="19">
        <f>IF(AND(I51&lt;&gt;"",J51&lt;&gt;""),I51*J51,"")</f>
        <v/>
      </c>
      <c r="L51" s="16" t="n"/>
      <c r="M51" s="16" t="n"/>
      <c r="N51" s="16" t="n"/>
      <c r="O51" s="16" t="n"/>
      <c r="P51" s="16" t="n"/>
      <c r="Q51" s="16" t="n"/>
      <c r="R51" s="17" t="n"/>
      <c r="S51" s="17" t="n"/>
      <c r="T51" s="17" t="n"/>
      <c r="U51" s="16">
        <f>IF(T51&lt;&gt;"","Received",IF(AND(S51&lt;&gt;"",S51&lt;TODAY()),"⚠ Overdue","On Track"))</f>
        <v/>
      </c>
      <c r="V51" s="16" t="n"/>
    </row>
    <row r="52" ht="18" customHeight="1">
      <c r="A52" s="10">
        <f>IF(B52&lt;&gt;"",ROW()-2,"")</f>
        <v/>
      </c>
      <c r="B52" s="11" t="n"/>
      <c r="C52" s="11" t="n"/>
      <c r="D52" s="12" t="n"/>
      <c r="E52" s="12" t="n"/>
      <c r="F52" s="13">
        <f>IF(AND(D52&lt;&gt;"",E52&lt;&gt;""),E52-D52,"")</f>
        <v/>
      </c>
      <c r="G52" s="11" t="n"/>
      <c r="H52" s="11" t="n"/>
      <c r="I52" s="10" t="n"/>
      <c r="J52" s="14" t="n"/>
      <c r="K52" s="14">
        <f>IF(AND(I52&lt;&gt;"",J52&lt;&gt;""),I52*J52,"")</f>
        <v/>
      </c>
      <c r="L52" s="11" t="n"/>
      <c r="M52" s="11" t="n"/>
      <c r="N52" s="11" t="n"/>
      <c r="O52" s="11" t="n"/>
      <c r="P52" s="11" t="n"/>
      <c r="Q52" s="11" t="n"/>
      <c r="R52" s="12" t="n"/>
      <c r="S52" s="12" t="n"/>
      <c r="T52" s="12" t="n"/>
      <c r="U52" s="11">
        <f>IF(T52&lt;&gt;"","Received",IF(AND(S52&lt;&gt;"",S52&lt;TODAY()),"⚠ Overdue","On Track"))</f>
        <v/>
      </c>
      <c r="V52" s="11" t="n"/>
    </row>
    <row r="53" ht="18" customHeight="1">
      <c r="A53" s="15">
        <f>IF(B53&lt;&gt;"",ROW()-2,"")</f>
        <v/>
      </c>
      <c r="B53" s="16" t="n"/>
      <c r="C53" s="16" t="n"/>
      <c r="D53" s="17" t="n"/>
      <c r="E53" s="17" t="n"/>
      <c r="F53" s="18">
        <f>IF(AND(D53&lt;&gt;"",E53&lt;&gt;""),E53-D53,"")</f>
        <v/>
      </c>
      <c r="G53" s="16" t="n"/>
      <c r="H53" s="16" t="n"/>
      <c r="I53" s="15" t="n"/>
      <c r="J53" s="19" t="n"/>
      <c r="K53" s="19">
        <f>IF(AND(I53&lt;&gt;"",J53&lt;&gt;""),I53*J53,"")</f>
        <v/>
      </c>
      <c r="L53" s="16" t="n"/>
      <c r="M53" s="16" t="n"/>
      <c r="N53" s="16" t="n"/>
      <c r="O53" s="16" t="n"/>
      <c r="P53" s="16" t="n"/>
      <c r="Q53" s="16" t="n"/>
      <c r="R53" s="17" t="n"/>
      <c r="S53" s="17" t="n"/>
      <c r="T53" s="17" t="n"/>
      <c r="U53" s="16">
        <f>IF(T53&lt;&gt;"","Received",IF(AND(S53&lt;&gt;"",S53&lt;TODAY()),"⚠ Overdue","On Track"))</f>
        <v/>
      </c>
      <c r="V53" s="16" t="n"/>
    </row>
    <row r="55">
      <c r="A55" s="20" t="inlineStr">
        <is>
          <t>HOW TO USE:  Row 3 is an example — replace with real data.  Yellow = example row.  Columns F, K, U are calculated automatically — do not edit.  Amber cost = &gt;$500.  See Job Summary tab for per-job totals.</t>
        </is>
      </c>
    </row>
  </sheetData>
  <mergeCells count="3">
    <mergeCell ref="A1:T1"/>
    <mergeCell ref="A55:V55"/>
    <mergeCell ref="U1:V1"/>
  </mergeCells>
  <conditionalFormatting sqref="U3:U53">
    <cfRule type="containsText" priority="1" operator="containsText" dxfId="0" text="Overdue">
      <formula>NOT(ISERROR(SEARCH("Overdue",U3)))</formula>
    </cfRule>
    <cfRule type="containsText" priority="2" operator="containsText" dxfId="1" text="Received">
      <formula>NOT(ISERROR(SEARCH("Received",U3)))</formula>
    </cfRule>
  </conditionalFormatting>
  <conditionalFormatting sqref="K3:K53">
    <cfRule type="cellIs" priority="3" operator="greaterThan" dxfId="2">
      <formula>500</formula>
    </cfRule>
  </conditionalFormatting>
  <dataValidations count="2">
    <dataValidation sqref="L3:L53" showDropDown="0" showInputMessage="0" showErrorMessage="1" allowBlank="1" errorTitle="Invalid Reason" error="Please select from the list." type="list">
      <formula1>'Reference'!$A$2:$A$8</formula1>
    </dataValidation>
    <dataValidation sqref="O3:O53" showDropDown="0" showInputMessage="0" showErrorMessage="1" allowBlank="1" errorTitle="Invalid Status" error="Please select from the list." type="list">
      <formula1>'Reference'!$B$2:$B$7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18" customWidth="1" min="5" max="5"/>
    <col width="14" customWidth="1" min="6" max="6"/>
    <col width="14" customWidth="1" min="7" max="7"/>
    <col width="14" customWidth="1" min="8" max="8"/>
    <col width="24" customWidth="1" min="9" max="9"/>
  </cols>
  <sheetData>
    <row r="1" ht="36" customHeight="1">
      <c r="A1" s="21" t="inlineStr">
        <is>
          <t>Job Summary — BOM Post-Release Additions</t>
        </is>
      </c>
      <c r="H1" s="22" t="inlineStr">
        <is>
          <t>Auto-calculated</t>
        </is>
      </c>
    </row>
    <row r="2" ht="36" customHeight="1">
      <c r="A2" s="3" t="inlineStr">
        <is>
          <t>Job No.</t>
        </is>
      </c>
      <c r="B2" s="3" t="inlineStr">
        <is>
          <t>Job Description</t>
        </is>
      </c>
      <c r="C2" s="3" t="inlineStr">
        <is>
          <t>BOM Release Date</t>
        </is>
      </c>
      <c r="D2" s="3" t="inlineStr">
        <is>
          <t># Additions</t>
        </is>
      </c>
      <c r="E2" s="3" t="inlineStr">
        <is>
          <t>Total Cost Impact</t>
        </is>
      </c>
      <c r="F2" s="3" t="inlineStr">
        <is>
          <t>Items Pending</t>
        </is>
      </c>
      <c r="G2" s="3" t="inlineStr">
        <is>
          <t>Items Ordered</t>
        </is>
      </c>
      <c r="H2" s="3" t="inlineStr">
        <is>
          <t>Items Received</t>
        </is>
      </c>
      <c r="I2" s="3" t="inlineStr">
        <is>
          <t>Notes</t>
        </is>
      </c>
    </row>
    <row r="3" ht="20" customHeight="1">
      <c r="A3" s="23" t="inlineStr">
        <is>
          <t>801253</t>
        </is>
      </c>
      <c r="B3" s="24" t="inlineStr">
        <is>
          <t>Aviation Refueller — Unit A</t>
        </is>
      </c>
      <c r="C3" s="25" t="n">
        <v>46217</v>
      </c>
      <c r="D3" s="26">
        <f>COUNTIF('BOM Additions'!B$3:B$53,A3)</f>
        <v/>
      </c>
      <c r="E3" s="27">
        <f>SUMIF('BOM Additions'!B$3:B$53,A3,'BOM Additions'!K$3:K$53)</f>
        <v/>
      </c>
      <c r="F3" s="28">
        <f>COUNTIFS('BOM Additions'!B$3:B$53,A3,'BOM Additions'!O$3:O$53,"Pending")</f>
        <v/>
      </c>
      <c r="G3" s="28">
        <f>COUNTIFS('BOM Additions'!B$3:B$53,A3,'BOM Additions'!O$3:O$53,"PO Raised")+COUNTIFS('BOM Additions'!B$3:B$53,A3,'BOM Additions'!O$3:O$53,"Ordered")</f>
        <v/>
      </c>
      <c r="H3" s="28">
        <f>COUNTIFS('BOM Additions'!B$3:B$53,A3,'BOM Additions'!O$3:O$53,"Complete")</f>
        <v/>
      </c>
      <c r="I3" s="24" t="inlineStr"/>
    </row>
    <row r="4" ht="20" customHeight="1">
      <c r="A4" s="29" t="inlineStr">
        <is>
          <t>801254</t>
        </is>
      </c>
      <c r="B4" s="30" t="inlineStr">
        <is>
          <t>Aviation Refueller Mk4</t>
        </is>
      </c>
      <c r="C4" s="31" t="n">
        <v>46231</v>
      </c>
      <c r="D4" s="32">
        <f>COUNTIF('BOM Additions'!B$3:B$53,A4)</f>
        <v/>
      </c>
      <c r="E4" s="33">
        <f>SUMIF('BOM Additions'!B$3:B$53,A4,'BOM Additions'!K$3:K$53)</f>
        <v/>
      </c>
      <c r="F4" s="34">
        <f>COUNTIFS('BOM Additions'!B$3:B$53,A4,'BOM Additions'!O$3:O$53,"Pending")</f>
        <v/>
      </c>
      <c r="G4" s="34">
        <f>COUNTIFS('BOM Additions'!B$3:B$53,A4,'BOM Additions'!O$3:O$53,"PO Raised")+COUNTIFS('BOM Additions'!B$3:B$53,A4,'BOM Additions'!O$3:O$53,"Ordered")</f>
        <v/>
      </c>
      <c r="H4" s="34">
        <f>COUNTIFS('BOM Additions'!B$3:B$53,A4,'BOM Additions'!O$3:O$53,"Complete")</f>
        <v/>
      </c>
      <c r="I4" s="30" t="inlineStr"/>
    </row>
    <row r="5" ht="20" customHeight="1">
      <c r="A5" s="23" t="inlineStr">
        <is>
          <t>801256</t>
        </is>
      </c>
      <c r="B5" s="24" t="inlineStr">
        <is>
          <t>Fuel Tanker — Rear Config</t>
        </is>
      </c>
      <c r="C5" s="25" t="n">
        <v>46224</v>
      </c>
      <c r="D5" s="26">
        <f>COUNTIF('BOM Additions'!B$3:B$53,A5)</f>
        <v/>
      </c>
      <c r="E5" s="27">
        <f>SUMIF('BOM Additions'!B$3:B$53,A5,'BOM Additions'!K$3:K$53)</f>
        <v/>
      </c>
      <c r="F5" s="28">
        <f>COUNTIFS('BOM Additions'!B$3:B$53,A5,'BOM Additions'!O$3:O$53,"Pending")</f>
        <v/>
      </c>
      <c r="G5" s="28">
        <f>COUNTIFS('BOM Additions'!B$3:B$53,A5,'BOM Additions'!O$3:O$53,"PO Raised")+COUNTIFS('BOM Additions'!B$3:B$53,A5,'BOM Additions'!O$3:O$53,"Ordered")</f>
        <v/>
      </c>
      <c r="H5" s="28">
        <f>COUNTIFS('BOM Additions'!B$3:B$53,A5,'BOM Additions'!O$3:O$53,"Complete")</f>
        <v/>
      </c>
      <c r="I5" s="24" t="inlineStr"/>
    </row>
    <row r="6" ht="20" customHeight="1">
      <c r="A6" s="29" t="inlineStr">
        <is>
          <t>801257</t>
        </is>
      </c>
      <c r="B6" s="30" t="inlineStr">
        <is>
          <t>Fuel Tanker — Std Config</t>
        </is>
      </c>
      <c r="C6" s="31" t="n">
        <v>46224</v>
      </c>
      <c r="D6" s="32">
        <f>COUNTIF('BOM Additions'!B$3:B$53,A6)</f>
        <v/>
      </c>
      <c r="E6" s="33">
        <f>SUMIF('BOM Additions'!B$3:B$53,A6,'BOM Additions'!K$3:K$53)</f>
        <v/>
      </c>
      <c r="F6" s="34">
        <f>COUNTIFS('BOM Additions'!B$3:B$53,A6,'BOM Additions'!O$3:O$53,"Pending")</f>
        <v/>
      </c>
      <c r="G6" s="34">
        <f>COUNTIFS('BOM Additions'!B$3:B$53,A6,'BOM Additions'!O$3:O$53,"PO Raised")+COUNTIFS('BOM Additions'!B$3:B$53,A6,'BOM Additions'!O$3:O$53,"Ordered")</f>
        <v/>
      </c>
      <c r="H6" s="34">
        <f>COUNTIFS('BOM Additions'!B$3:B$53,A6,'BOM Additions'!O$3:O$53,"Complete")</f>
        <v/>
      </c>
      <c r="I6" s="30" t="inlineStr"/>
    </row>
    <row r="7" ht="20" customHeight="1">
      <c r="A7" s="23" t="inlineStr">
        <is>
          <t>801258</t>
        </is>
      </c>
      <c r="B7" s="24" t="inlineStr">
        <is>
          <t>Aviation Refueller — Unit B</t>
        </is>
      </c>
      <c r="C7" s="25" t="n">
        <v>46231</v>
      </c>
      <c r="D7" s="26">
        <f>COUNTIF('BOM Additions'!B$3:B$53,A7)</f>
        <v/>
      </c>
      <c r="E7" s="27">
        <f>SUMIF('BOM Additions'!B$3:B$53,A7,'BOM Additions'!K$3:K$53)</f>
        <v/>
      </c>
      <c r="F7" s="28">
        <f>COUNTIFS('BOM Additions'!B$3:B$53,A7,'BOM Additions'!O$3:O$53,"Pending")</f>
        <v/>
      </c>
      <c r="G7" s="28">
        <f>COUNTIFS('BOM Additions'!B$3:B$53,A7,'BOM Additions'!O$3:O$53,"PO Raised")+COUNTIFS('BOM Additions'!B$3:B$53,A7,'BOM Additions'!O$3:O$53,"Ordered")</f>
        <v/>
      </c>
      <c r="H7" s="28">
        <f>COUNTIFS('BOM Additions'!B$3:B$53,A7,'BOM Additions'!O$3:O$53,"Complete")</f>
        <v/>
      </c>
      <c r="I7" s="24" t="inlineStr"/>
    </row>
    <row r="8" ht="18" customHeight="1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</row>
    <row r="9" ht="18" customHeight="1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 ht="18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</row>
    <row r="11" ht="18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 ht="18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</row>
    <row r="13" ht="18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 ht="18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</row>
    <row r="15" ht="18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 ht="18" customHeight="1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</row>
    <row r="17" ht="18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 ht="18" customHeight="1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</row>
    <row r="19" ht="18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 ht="22" customHeight="1">
      <c r="A20" s="37" t="inlineStr">
        <is>
          <t>TOTALS</t>
        </is>
      </c>
      <c r="D20" s="38">
        <f>SUM(D3:D19)</f>
        <v/>
      </c>
      <c r="E20" s="39">
        <f>SUM(E3:E19)</f>
        <v/>
      </c>
      <c r="F20" s="38">
        <f>SUM(F3:F19)</f>
        <v/>
      </c>
      <c r="G20" s="38">
        <f>SUM(G3:G19)</f>
        <v/>
      </c>
      <c r="H20" s="38">
        <f>SUM(H3:H19)</f>
        <v/>
      </c>
      <c r="I20" s="40" t="n"/>
    </row>
  </sheetData>
  <mergeCells count="3">
    <mergeCell ref="A20:C20"/>
    <mergeCell ref="A1:G1"/>
    <mergeCell ref="H1:I1"/>
  </mergeCells>
  <conditionalFormatting sqref="F3:F19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0" customWidth="1" min="3" max="3"/>
  </cols>
  <sheetData>
    <row r="1" ht="28" customHeight="1">
      <c r="A1" s="41" t="inlineStr">
        <is>
          <t>Reason Code</t>
        </is>
      </c>
      <c r="B1" s="41" t="inlineStr">
        <is>
          <t>Procurement Status</t>
        </is>
      </c>
      <c r="C1" s="42" t="inlineStr">
        <is>
          <t>Why was this part added after BOM release?</t>
        </is>
      </c>
    </row>
    <row r="2" ht="18" customHeight="1">
      <c r="A2" s="30" t="inlineStr">
        <is>
          <t>Engineering Change</t>
        </is>
      </c>
      <c r="B2" s="30" t="inlineStr">
        <is>
          <t>Pending</t>
        </is>
      </c>
      <c r="C2" s="43" t="inlineStr">
        <is>
          <t>Design was updated after BOM issued</t>
        </is>
      </c>
    </row>
    <row r="3" ht="18" customHeight="1">
      <c r="A3" s="24" t="inlineStr">
        <is>
          <t>Customer Request</t>
        </is>
      </c>
      <c r="B3" s="24" t="inlineStr">
        <is>
          <t>PO Raised</t>
        </is>
      </c>
      <c r="C3" s="43" t="inlineStr">
        <is>
          <t>Customer requested additional item</t>
        </is>
      </c>
    </row>
    <row r="4" ht="18" customHeight="1">
      <c r="A4" s="30" t="inlineStr">
        <is>
          <t>Error / Omission</t>
        </is>
      </c>
      <c r="B4" s="30" t="inlineStr">
        <is>
          <t>Ordered</t>
        </is>
      </c>
      <c r="C4" s="43" t="inlineStr">
        <is>
          <t>Part missing from original BOM</t>
        </is>
      </c>
    </row>
    <row r="5" ht="18" customHeight="1">
      <c r="A5" s="24" t="inlineStr">
        <is>
          <t>Design Update</t>
        </is>
      </c>
      <c r="B5" s="24" t="inlineStr">
        <is>
          <t>Partial Receipt</t>
        </is>
      </c>
      <c r="C5" s="43" t="inlineStr">
        <is>
          <t>Internal design revision</t>
        </is>
      </c>
    </row>
    <row r="6" ht="18" customHeight="1">
      <c r="A6" s="30" t="inlineStr">
        <is>
          <t>Substitution</t>
        </is>
      </c>
      <c r="B6" s="30" t="inlineStr">
        <is>
          <t>Complete</t>
        </is>
      </c>
      <c r="C6" s="43" t="inlineStr">
        <is>
          <t>Original part replaced with equivalent</t>
        </is>
      </c>
    </row>
    <row r="7" ht="18" customHeight="1">
      <c r="A7" s="24" t="inlineStr">
        <is>
          <t>Additional Scope</t>
        </is>
      </c>
      <c r="B7" s="24" t="inlineStr">
        <is>
          <t>Cancelled</t>
        </is>
      </c>
      <c r="C7" s="43" t="inlineStr">
        <is>
          <t>Scope increased after release</t>
        </is>
      </c>
    </row>
    <row r="8" ht="18" customHeight="1">
      <c r="A8" s="30" t="inlineStr">
        <is>
          <t>Other</t>
        </is>
      </c>
      <c r="C8" s="43" t="inlineStr">
        <is>
          <t>Document reason in Notes column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2026-08-18T08:42:43Z</dcterms:created>
  <dcterms:modified xsi:type="dcterms:W3CDTF">2026-08-18T08:42:44Z</dcterms:modified>
</cp:coreProperties>
</file>