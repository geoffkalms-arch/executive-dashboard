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d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<sst xmlns="http://schemas.openxmlformats.org/spreadsheetml/2006/main" count="58" uniqueCount="48">
  <si>
    <t xml:space="preserve">Dangerous Goods &amp; Limited Quantity (LQ) — Placard Load Calculator</t>
  </si>
  <si>
    <t xml:space="preserve">Placard Load Summary</t>
  </si>
  <si>
    <t xml:space="preserve">Product Description</t>
  </si>
  <si>
    <t xml:space="preserve">UN Number</t>
  </si>
  <si>
    <t xml:space="preserve">Transport Type</t>
  </si>
  <si>
    <t xml:space="preserve">Class / Division</t>
  </si>
  <si>
    <t xml:space="preserve">Packing Group</t>
  </si>
  <si>
    <t xml:space="preserve">Quantity (kg or Litres)</t>
  </si>
  <si>
    <t xml:space="preserve">Is it an Aerosol?</t>
  </si>
  <si>
    <t xml:space="preserve">LQ UN Subtotal (helper — do not edit)</t>
  </si>
  <si>
    <t xml:space="preserve">Total Fully Regulated DG (general)</t>
  </si>
  <si>
    <t xml:space="preserve">Regulatory Thresholds (editable)</t>
  </si>
  <si>
    <t xml:space="preserve">Luxathane Accelerator Part C</t>
  </si>
  <si>
    <t xml:space="preserve">UN2929</t>
  </si>
  <si>
    <t xml:space="preserve">Fully Regulated</t>
  </si>
  <si>
    <t xml:space="preserve">6.1</t>
  </si>
  <si>
    <t xml:space="preserve">II</t>
  </si>
  <si>
    <t xml:space="preserve">No</t>
  </si>
  <si>
    <t xml:space="preserve">Total Fully Regulated Aerosols (Div 2.1)</t>
  </si>
  <si>
    <t xml:space="preserve">LQ single UN number threshold (kg/L)</t>
  </si>
  <si>
    <t xml:space="preserve">Luxathane Base Part A</t>
  </si>
  <si>
    <t xml:space="preserve">UN1866</t>
  </si>
  <si>
    <t xml:space="preserve">3</t>
  </si>
  <si>
    <t xml:space="preserve">III</t>
  </si>
  <si>
    <t xml:space="preserve">Total Fully Regulated DG (incl. aerosols)</t>
  </si>
  <si>
    <t xml:space="preserve">LQ total gross weight threshold (kg/L)</t>
  </si>
  <si>
    <t xml:space="preserve">Rust Preventative Aerosol</t>
  </si>
  <si>
    <t xml:space="preserve">UN1950</t>
  </si>
  <si>
    <t xml:space="preserve">2.1</t>
  </si>
  <si>
    <t xml:space="preserve">N/A</t>
  </si>
  <si>
    <t xml:space="preserve">Yes</t>
  </si>
  <si>
    <t xml:space="preserve">Total Limited Quantities (LQ) gross weight</t>
  </si>
  <si>
    <t xml:space="preserve">Strict aggregate threshold — PG I / Div 2.3 / non-aerosol 2.1 (kg/L)</t>
  </si>
  <si>
    <t xml:space="preserve">Touch-Up Paint</t>
  </si>
  <si>
    <t xml:space="preserve">UN1263</t>
  </si>
  <si>
    <t xml:space="preserve">Limited Quantity (LQ)</t>
  </si>
  <si>
    <t xml:space="preserve">Max single UN number (LQ)</t>
  </si>
  <si>
    <t xml:space="preserve">Standard aggregate threshold — all other fully regulated DG (kg/L)</t>
  </si>
  <si>
    <t xml:space="preserve">Adhesive Remover</t>
  </si>
  <si>
    <t xml:space="preserve">UN1593</t>
  </si>
  <si>
    <t xml:space="preserve">Contains PG I / Div 2.3 / non-aerosol Div 2.1?</t>
  </si>
  <si>
    <t xml:space="preserve">PLACARD STATUS</t>
  </si>
  <si>
    <t xml:space="preserve">Legend &amp; Notes</t>
  </si>
  <si>
    <t xml:space="preserve">• Blue text = cells for you to edit (product rows, threshold constants). Black text = formulas — do not overwrite.</t>
  </si>
  <si>
    <t xml:space="preserve">• Column H is a helper column that totals each UN number's Limited Quantity mass/volume; leave it as-is.</t>
  </si>
  <si>
    <t xml:space="preserve">• Enter one line item per row from row 3 down; rows 3-7 hold a worked example (mixed Class 3 / 6.1 / Div 2.1 aerosol load) — replace or delete before using for a real dispatch.</t>
  </si>
  <si>
    <t xml:space="preserve">• Thresholds in the yellow cells (M3:N6) implement ADG Code Table 5.3.1(b)/(e) and Table 5.3.2 as summarised in the request that produced this sheet. Verify against the current ADG Code edition before relying on this tool operationally — these figures were not independently re-derived from the Code text.</t>
  </si>
  <si>
    <t xml:space="preserve">• "Contains PG I / Div 2.3 / non-aerosol Div 2.1?" drives which aggregate threshold (250 kg/L strict vs 1000 kg/L standard) applies to the fully regulated total; Division 2.1 aerosols are excluded from that trigger per the request's stated exemption.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</si>
</sst>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  <sz val="12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2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3"/>
    <col collapsed="false" customWidth="true" hidden="false" outlineLevel="0" max="10" min="10" style="0" width="38"/>
    <col collapsed="false" customWidth="true" hidden="false" outlineLevel="0" max="11" min="11" style="0" width="14"/>
    <col collapsed="false" customWidth="true" hidden="false" outlineLevel="0" max="12" min="12" style="0" width="3"/>
    <col collapsed="false" customWidth="true" hidden="false" outlineLevel="0" max="13" min="13" style="0" width="40"/>
    <col collapsed="false" customWidth="true" hidden="false" outlineLevel="0" max="14" min="14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</row>
    <row r="2" customFormat="false" ht="30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J2" s="3" t="s">
        <v>10</v>
      </c>
      <c r="K2" s="4" t="n">
        <f aca="false">SUMIFS($F$3:$F$202,$C$3:$C$202,"Fully Regulated",$G$3:$G$202,"No")</f>
        <v>780</v>
      </c>
      <c r="M2" s="5" t="s">
        <v>11</v>
      </c>
      <c r="N2" s="5"/>
    </row>
    <row r="3" customFormat="false" ht="15" hidden="false" customHeight="fals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7" t="n">
        <v>180</v>
      </c>
      <c r="G3" s="6" t="s">
        <v>17</v>
      </c>
      <c r="H3" s="8" t="n">
        <f aca="false">IF(C3="Limited Quantity (LQ)",SUMIFS($F$3:$F$202,$C$3:$C$202,"Limited Quantity (LQ)",$B$3:$B$202,B3),0)</f>
        <v>0</v>
      </c>
      <c r="J3" s="3" t="s">
        <v>18</v>
      </c>
      <c r="K3" s="4" t="n">
        <f aca="false">SUMIFS($F$3:$F$202,$C$3:$C$202,"Fully Regulated",$G$3:$G$202,"Yes")</f>
        <v>150</v>
      </c>
      <c r="M3" s="9" t="s">
        <v>19</v>
      </c>
      <c r="N3" s="10" t="n">
        <v>2000</v>
      </c>
    </row>
    <row r="4" customFormat="false" ht="15" hidden="false" customHeight="false" outlineLevel="0" collapsed="false">
      <c r="A4" s="6" t="s">
        <v>20</v>
      </c>
      <c r="B4" s="6" t="s">
        <v>21</v>
      </c>
      <c r="C4" s="6" t="s">
        <v>14</v>
      </c>
      <c r="D4" s="6" t="s">
        <v>22</v>
      </c>
      <c r="E4" s="6" t="s">
        <v>23</v>
      </c>
      <c r="F4" s="7" t="n">
        <v>600</v>
      </c>
      <c r="G4" s="6" t="s">
        <v>17</v>
      </c>
      <c r="H4" s="8" t="n">
        <f aca="false">IF(C4="Limited Quantity (LQ)",SUMIFS($F$3:$F$202,$C$3:$C$202,"Limited Quantity (LQ)",$B$3:$B$202,B4),0)</f>
        <v>0</v>
      </c>
      <c r="J4" s="3" t="s">
        <v>24</v>
      </c>
      <c r="K4" s="4" t="n">
        <f aca="false">K2+K3</f>
        <v>930</v>
      </c>
      <c r="M4" s="9" t="s">
        <v>25</v>
      </c>
      <c r="N4" s="10" t="n">
        <v>8000</v>
      </c>
    </row>
    <row r="5" customFormat="false" ht="23.85" hidden="false" customHeight="false" outlineLevel="0" collapsed="false">
      <c r="A5" s="6" t="s">
        <v>26</v>
      </c>
      <c r="B5" s="6" t="s">
        <v>27</v>
      </c>
      <c r="C5" s="6" t="s">
        <v>14</v>
      </c>
      <c r="D5" s="6" t="s">
        <v>28</v>
      </c>
      <c r="E5" s="6" t="s">
        <v>29</v>
      </c>
      <c r="F5" s="7" t="n">
        <v>150</v>
      </c>
      <c r="G5" s="6" t="s">
        <v>30</v>
      </c>
      <c r="H5" s="8" t="n">
        <f aca="false">IF(C5="Limited Quantity (LQ)",SUMIFS($F$3:$F$202,$C$3:$C$202,"Limited Quantity (LQ)",$B$3:$B$202,B5),0)</f>
        <v>0</v>
      </c>
      <c r="J5" s="3" t="s">
        <v>31</v>
      </c>
      <c r="K5" s="4" t="n">
        <f aca="false">SUMIF($C$3:$C$202,"Limited Quantity (LQ)",$F$3:$F$202)</f>
        <v>750</v>
      </c>
      <c r="M5" s="9" t="s">
        <v>32</v>
      </c>
      <c r="N5" s="10" t="n">
        <v>250</v>
      </c>
    </row>
    <row r="6" customFormat="false" ht="23.85" hidden="false" customHeight="false" outlineLevel="0" collapsed="false">
      <c r="A6" s="6" t="s">
        <v>33</v>
      </c>
      <c r="B6" s="6" t="s">
        <v>34</v>
      </c>
      <c r="C6" s="6" t="s">
        <v>35</v>
      </c>
      <c r="D6" s="6" t="s">
        <v>22</v>
      </c>
      <c r="E6" s="6" t="s">
        <v>23</v>
      </c>
      <c r="F6" s="7" t="n">
        <v>450</v>
      </c>
      <c r="G6" s="6" t="s">
        <v>17</v>
      </c>
      <c r="H6" s="8" t="n">
        <f aca="false">IF(C6="Limited Quantity (LQ)",SUMIFS($F$3:$F$202,$C$3:$C$202,"Limited Quantity (LQ)",$B$3:$B$202,B6),0)</f>
        <v>450</v>
      </c>
      <c r="J6" s="3" t="s">
        <v>36</v>
      </c>
      <c r="K6" s="4" t="n">
        <f aca="false">MAX($H$3:$H$202)</f>
        <v>450</v>
      </c>
      <c r="M6" s="9" t="s">
        <v>37</v>
      </c>
      <c r="N6" s="10" t="n">
        <v>1000</v>
      </c>
    </row>
    <row r="7" customFormat="false" ht="15" hidden="false" customHeight="false" outlineLevel="0" collapsed="false">
      <c r="A7" s="6" t="s">
        <v>38</v>
      </c>
      <c r="B7" s="6" t="s">
        <v>39</v>
      </c>
      <c r="C7" s="6" t="s">
        <v>35</v>
      </c>
      <c r="D7" s="6" t="s">
        <v>15</v>
      </c>
      <c r="E7" s="6" t="s">
        <v>23</v>
      </c>
      <c r="F7" s="7" t="n">
        <v>300</v>
      </c>
      <c r="G7" s="6" t="s">
        <v>17</v>
      </c>
      <c r="H7" s="8" t="n">
        <f aca="false">IF(C7="Limited Quantity (LQ)",SUMIFS($F$3:$F$202,$C$3:$C$202,"Limited Quantity (LQ)",$B$3:$B$202,B7),0)</f>
        <v>300</v>
      </c>
      <c r="J7" s="3" t="s">
        <v>40</v>
      </c>
      <c r="K7" s="11" t="str">
        <f aca="false">IF(SUMPRODUCT(($C$3:$C$202="Fully Regulated")*(($E$3:$E$202="I")+($D$3:$D$202="2.3")+(($D$3:$D$202="2.1")*($G$3:$G$202="No"))))&gt;0,"YES","NO")</f>
        <v>NO</v>
      </c>
    </row>
    <row r="8" customFormat="false" ht="15" hidden="false" customHeight="false" outlineLevel="0" collapsed="false">
      <c r="A8" s="6"/>
      <c r="B8" s="6"/>
      <c r="C8" s="6"/>
      <c r="D8" s="6"/>
      <c r="E8" s="6"/>
      <c r="F8" s="7"/>
      <c r="G8" s="6"/>
      <c r="H8" s="8" t="n">
        <f aca="false">IF(C8="Limited Quantity (LQ)",SUMIFS($F$3:$F$202,$C$3:$C$202,"Limited Quantity (LQ)",$B$3:$B$202,B8),0)</f>
        <v>0</v>
      </c>
    </row>
    <row r="9" customFormat="false" ht="19.5" hidden="false" customHeight="true" outlineLevel="0" collapsed="false">
      <c r="A9" s="6"/>
      <c r="B9" s="6"/>
      <c r="C9" s="6"/>
      <c r="D9" s="6"/>
      <c r="E9" s="6"/>
      <c r="F9" s="7"/>
      <c r="G9" s="6"/>
      <c r="H9" s="8" t="n">
        <f aca="false">IF(C9="Limited Quantity (LQ)",SUMIFS($F$3:$F$202,$C$3:$C$202,"Limited Quantity (LQ)",$B$3:$B$202,B9),0)</f>
        <v>0</v>
      </c>
      <c r="J9" s="12" t="s">
        <v>41</v>
      </c>
      <c r="K9" s="13" t="str">
        <f aca="false">IF(OR(K6&gt;=$N$3,K5&gt;$N$4),"PLACARD LOAD (LQ Triggered)",IF(K7="YES",IF(K4&gt;=$N$5,"PLACARD LOAD (250kg Limit)","Sub-Placard Load"),IF(K4&gt;=$N$6,"PLACARD LOAD (1000kg Limit)","Sub-Placard Load")))</f>
        <v>Sub-Placard Load</v>
      </c>
    </row>
    <row r="10" customFormat="false" ht="19.5" hidden="false" customHeight="true" outlineLevel="0" collapsed="false">
      <c r="A10" s="6"/>
      <c r="B10" s="6"/>
      <c r="C10" s="6"/>
      <c r="D10" s="6"/>
      <c r="E10" s="6"/>
      <c r="F10" s="7"/>
      <c r="G10" s="6"/>
      <c r="H10" s="8" t="n">
        <f aca="false">IF(C10="Limited Quantity (LQ)",SUMIFS($F$3:$F$202,$C$3:$C$202,"Limited Quantity (LQ)",$B$3:$B$202,B10),0)</f>
        <v>0</v>
      </c>
      <c r="J10" s="12"/>
      <c r="K10" s="13"/>
    </row>
    <row r="11" customFormat="false" ht="15" hidden="false" customHeight="false" outlineLevel="0" collapsed="false">
      <c r="A11" s="6"/>
      <c r="B11" s="6"/>
      <c r="C11" s="6"/>
      <c r="D11" s="6"/>
      <c r="E11" s="6"/>
      <c r="F11" s="7"/>
      <c r="G11" s="6"/>
      <c r="H11" s="8" t="n">
        <f aca="false">IF(C11="Limited Quantity (LQ)",SUMIFS($F$3:$F$202,$C$3:$C$202,"Limited Quantity (LQ)",$B$3:$B$202,B11),0)</f>
        <v>0</v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7"/>
      <c r="G12" s="6"/>
      <c r="H12" s="8" t="n">
        <f aca="false">IF(C12="Limited Quantity (LQ)",SUMIFS($F$3:$F$202,$C$3:$C$202,"Limited Quantity (LQ)",$B$3:$B$202,B12),0)</f>
        <v>0</v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7"/>
      <c r="G13" s="6"/>
      <c r="H13" s="8" t="n">
        <f aca="false">IF(C13="Limited Quantity (LQ)",SUMIFS($F$3:$F$202,$C$3:$C$202,"Limited Quantity (LQ)",$B$3:$B$202,B13),0)</f>
        <v>0</v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7"/>
      <c r="G14" s="6"/>
      <c r="H14" s="8" t="n">
        <f aca="false">IF(C14="Limited Quantity (LQ)",SUMIFS($F$3:$F$202,$C$3:$C$202,"Limited Quantity (LQ)",$B$3:$B$202,B14),0)</f>
        <v>0</v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7"/>
      <c r="G15" s="6"/>
      <c r="H15" s="8" t="n">
        <f aca="false">IF(C15="Limited Quantity (LQ)",SUMIFS($F$3:$F$202,$C$3:$C$202,"Limited Quantity (LQ)",$B$3:$B$202,B15),0)</f>
        <v>0</v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7"/>
      <c r="G16" s="6"/>
      <c r="H16" s="8" t="n">
        <f aca="false">IF(C16="Limited Quantity (LQ)",SUMIFS($F$3:$F$202,$C$3:$C$202,"Limited Quantity (LQ)",$B$3:$B$202,B16),0)</f>
        <v>0</v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7"/>
      <c r="G17" s="6"/>
      <c r="H17" s="8" t="n">
        <f aca="false">IF(C17="Limited Quantity (LQ)",SUMIFS($F$3:$F$202,$C$3:$C$202,"Limited Quantity (LQ)",$B$3:$B$202,B17),0)</f>
        <v>0</v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7"/>
      <c r="G18" s="6"/>
      <c r="H18" s="8" t="n">
        <f aca="false">IF(C18="Limited Quantity (LQ)",SUMIFS($F$3:$F$202,$C$3:$C$202,"Limited Quantity (LQ)",$B$3:$B$202,B18),0)</f>
        <v>0</v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7"/>
      <c r="G19" s="6"/>
      <c r="H19" s="8" t="n">
        <f aca="false">IF(C19="Limited Quantity (LQ)",SUMIFS($F$3:$F$202,$C$3:$C$202,"Limited Quantity (LQ)",$B$3:$B$202,B19),0)</f>
        <v>0</v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7"/>
      <c r="G20" s="6"/>
      <c r="H20" s="8" t="n">
        <f aca="false">IF(C20="Limited Quantity (LQ)",SUMIFS($F$3:$F$202,$C$3:$C$202,"Limited Quantity (LQ)",$B$3:$B$202,B20),0)</f>
        <v>0</v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7"/>
      <c r="G21" s="6"/>
      <c r="H21" s="8" t="n">
        <f aca="false">IF(C21="Limited Quantity (LQ)",SUMIFS($F$3:$F$202,$C$3:$C$202,"Limited Quantity (LQ)",$B$3:$B$202,B21),0)</f>
        <v>0</v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7"/>
      <c r="G22" s="6"/>
      <c r="H22" s="8" t="n">
        <f aca="false">IF(C22="Limited Quantity (LQ)",SUMIFS($F$3:$F$202,$C$3:$C$202,"Limited Quantity (LQ)",$B$3:$B$202,B22),0)</f>
        <v>0</v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7"/>
      <c r="G23" s="6"/>
      <c r="H23" s="8" t="n">
        <f aca="false">IF(C23="Limited Quantity (LQ)",SUMIFS($F$3:$F$202,$C$3:$C$202,"Limited Quantity (LQ)",$B$3:$B$202,B23),0)</f>
        <v>0</v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7"/>
      <c r="G24" s="6"/>
      <c r="H24" s="8" t="n">
        <f aca="false">IF(C24="Limited Quantity (LQ)",SUMIFS($F$3:$F$202,$C$3:$C$202,"Limited Quantity (LQ)",$B$3:$B$202,B24),0)</f>
        <v>0</v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7"/>
      <c r="G25" s="6"/>
      <c r="H25" s="8" t="n">
        <f aca="false">IF(C25="Limited Quantity (LQ)",SUMIFS($F$3:$F$202,$C$3:$C$202,"Limited Quantity (LQ)",$B$3:$B$202,B25),0)</f>
        <v>0</v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7"/>
      <c r="G26" s="6"/>
      <c r="H26" s="8" t="n">
        <f aca="false">IF(C26="Limited Quantity (LQ)",SUMIFS($F$3:$F$202,$C$3:$C$202,"Limited Quantity (LQ)",$B$3:$B$202,B26),0)</f>
        <v>0</v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7"/>
      <c r="G27" s="6"/>
      <c r="H27" s="8" t="n">
        <f aca="false">IF(C27="Limited Quantity (LQ)",SUMIFS($F$3:$F$202,$C$3:$C$202,"Limited Quantity (LQ)",$B$3:$B$202,B27),0)</f>
        <v>0</v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7"/>
      <c r="G28" s="6"/>
      <c r="H28" s="8" t="n">
        <f aca="false">IF(C28="Limited Quantity (LQ)",SUMIFS($F$3:$F$202,$C$3:$C$202,"Limited Quantity (LQ)",$B$3:$B$202,B28),0)</f>
        <v>0</v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7"/>
      <c r="G29" s="6"/>
      <c r="H29" s="8" t="n">
        <f aca="false">IF(C29="Limited Quantity (LQ)",SUMIFS($F$3:$F$202,$C$3:$C$202,"Limited Quantity (LQ)",$B$3:$B$202,B29),0)</f>
        <v>0</v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7"/>
      <c r="G30" s="6"/>
      <c r="H30" s="8" t="n">
        <f aca="false">IF(C30="Limited Quantity (LQ)",SUMIFS($F$3:$F$202,$C$3:$C$202,"Limited Quantity (LQ)",$B$3:$B$202,B30),0)</f>
        <v>0</v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7"/>
      <c r="G31" s="6"/>
      <c r="H31" s="8" t="n">
        <f aca="false">IF(C31="Limited Quantity (LQ)",SUMIFS($F$3:$F$202,$C$3:$C$202,"Limited Quantity (LQ)",$B$3:$B$202,B31),0)</f>
        <v>0</v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7"/>
      <c r="G32" s="6"/>
      <c r="H32" s="8" t="n">
        <f aca="false">IF(C32="Limited Quantity (LQ)",SUMIFS($F$3:$F$202,$C$3:$C$202,"Limited Quantity (LQ)",$B$3:$B$202,B32),0)</f>
        <v>0</v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7"/>
      <c r="G33" s="6"/>
      <c r="H33" s="8" t="n">
        <f aca="false">IF(C33="Limited Quantity (LQ)",SUMIFS($F$3:$F$202,$C$3:$C$202,"Limited Quantity (LQ)",$B$3:$B$202,B33),0)</f>
        <v>0</v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7"/>
      <c r="G34" s="6"/>
      <c r="H34" s="8" t="n">
        <f aca="false">IF(C34="Limited Quantity (LQ)",SUMIFS($F$3:$F$202,$C$3:$C$202,"Limited Quantity (LQ)",$B$3:$B$202,B34),0)</f>
        <v>0</v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7"/>
      <c r="G35" s="6"/>
      <c r="H35" s="8" t="n">
        <f aca="false">IF(C35="Limited Quantity (LQ)",SUMIFS($F$3:$F$202,$C$3:$C$202,"Limited Quantity (LQ)",$B$3:$B$202,B35),0)</f>
        <v>0</v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7"/>
      <c r="G36" s="6"/>
      <c r="H36" s="8" t="n">
        <f aca="false">IF(C36="Limited Quantity (LQ)",SUMIFS($F$3:$F$202,$C$3:$C$202,"Limited Quantity (LQ)",$B$3:$B$202,B36),0)</f>
        <v>0</v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7"/>
      <c r="G37" s="6"/>
      <c r="H37" s="8" t="n">
        <f aca="false">IF(C37="Limited Quantity (LQ)",SUMIFS($F$3:$F$202,$C$3:$C$202,"Limited Quantity (LQ)",$B$3:$B$202,B37),0)</f>
        <v>0</v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7"/>
      <c r="G38" s="6"/>
      <c r="H38" s="8" t="n">
        <f aca="false">IF(C38="Limited Quantity (LQ)",SUMIFS($F$3:$F$202,$C$3:$C$202,"Limited Quantity (LQ)",$B$3:$B$202,B38),0)</f>
        <v>0</v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7"/>
      <c r="G39" s="6"/>
      <c r="H39" s="8" t="n">
        <f aca="false">IF(C39="Limited Quantity (LQ)",SUMIFS($F$3:$F$202,$C$3:$C$202,"Limited Quantity (LQ)",$B$3:$B$202,B39),0)</f>
        <v>0</v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7"/>
      <c r="G40" s="6"/>
      <c r="H40" s="8" t="n">
        <f aca="false">IF(C40="Limited Quantity (LQ)",SUMIFS($F$3:$F$202,$C$3:$C$202,"Limited Quantity (LQ)",$B$3:$B$202,B40),0)</f>
        <v>0</v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7"/>
      <c r="G41" s="6"/>
      <c r="H41" s="8" t="n">
        <f aca="false">IF(C41="Limited Quantity (LQ)",SUMIFS($F$3:$F$202,$C$3:$C$202,"Limited Quantity (LQ)",$B$3:$B$202,B41),0)</f>
        <v>0</v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7"/>
      <c r="G42" s="6"/>
      <c r="H42" s="8" t="n">
        <f aca="false">IF(C42="Limited Quantity (LQ)",SUMIFS($F$3:$F$202,$C$3:$C$202,"Limited Quantity (LQ)",$B$3:$B$202,B42),0)</f>
        <v>0</v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7"/>
      <c r="G43" s="6"/>
      <c r="H43" s="8" t="n">
        <f aca="false">IF(C43="Limited Quantity (LQ)",SUMIFS($F$3:$F$202,$C$3:$C$202,"Limited Quantity (LQ)",$B$3:$B$202,B43),0)</f>
        <v>0</v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7"/>
      <c r="G44" s="6"/>
      <c r="H44" s="8" t="n">
        <f aca="false">IF(C44="Limited Quantity (LQ)",SUMIFS($F$3:$F$202,$C$3:$C$202,"Limited Quantity (LQ)",$B$3:$B$202,B44),0)</f>
        <v>0</v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7"/>
      <c r="G45" s="6"/>
      <c r="H45" s="8" t="n">
        <f aca="false">IF(C45="Limited Quantity (LQ)",SUMIFS($F$3:$F$202,$C$3:$C$202,"Limited Quantity (LQ)",$B$3:$B$202,B45),0)</f>
        <v>0</v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7"/>
      <c r="G46" s="6"/>
      <c r="H46" s="8" t="n">
        <f aca="false">IF(C46="Limited Quantity (LQ)",SUMIFS($F$3:$F$202,$C$3:$C$202,"Limited Quantity (LQ)",$B$3:$B$202,B46),0)</f>
        <v>0</v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7"/>
      <c r="G47" s="6"/>
      <c r="H47" s="8" t="n">
        <f aca="false">IF(C47="Limited Quantity (LQ)",SUMIFS($F$3:$F$202,$C$3:$C$202,"Limited Quantity (LQ)",$B$3:$B$202,B47),0)</f>
        <v>0</v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7"/>
      <c r="G48" s="6"/>
      <c r="H48" s="8" t="n">
        <f aca="false">IF(C48="Limited Quantity (LQ)",SUMIFS($F$3:$F$202,$C$3:$C$202,"Limited Quantity (LQ)",$B$3:$B$202,B48),0)</f>
        <v>0</v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7"/>
      <c r="G49" s="6"/>
      <c r="H49" s="8" t="n">
        <f aca="false">IF(C49="Limited Quantity (LQ)",SUMIFS($F$3:$F$202,$C$3:$C$202,"Limited Quantity (LQ)",$B$3:$B$202,B49),0)</f>
        <v>0</v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7"/>
      <c r="G50" s="6"/>
      <c r="H50" s="8" t="n">
        <f aca="false">IF(C50="Limited Quantity (LQ)",SUMIFS($F$3:$F$202,$C$3:$C$202,"Limited Quantity (LQ)",$B$3:$B$202,B50),0)</f>
        <v>0</v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7"/>
      <c r="G51" s="6"/>
      <c r="H51" s="8" t="n">
        <f aca="false">IF(C51="Limited Quantity (LQ)",SUMIFS($F$3:$F$202,$C$3:$C$202,"Limited Quantity (LQ)",$B$3:$B$202,B51),0)</f>
        <v>0</v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7"/>
      <c r="G52" s="6"/>
      <c r="H52" s="8" t="n">
        <f aca="false">IF(C52="Limited Quantity (LQ)",SUMIFS($F$3:$F$202,$C$3:$C$202,"Limited Quantity (LQ)",$B$3:$B$202,B52),0)</f>
        <v>0</v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7"/>
      <c r="G53" s="6"/>
      <c r="H53" s="8" t="n">
        <f aca="false">IF(C53="Limited Quantity (LQ)",SUMIFS($F$3:$F$202,$C$3:$C$202,"Limited Quantity (LQ)",$B$3:$B$202,B53),0)</f>
        <v>0</v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7"/>
      <c r="G54" s="6"/>
      <c r="H54" s="8" t="n">
        <f aca="false">IF(C54="Limited Quantity (LQ)",SUMIFS($F$3:$F$202,$C$3:$C$202,"Limited Quantity (LQ)",$B$3:$B$202,B54),0)</f>
        <v>0</v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7"/>
      <c r="G55" s="6"/>
      <c r="H55" s="8" t="n">
        <f aca="false">IF(C55="Limited Quantity (LQ)",SUMIFS($F$3:$F$202,$C$3:$C$202,"Limited Quantity (LQ)",$B$3:$B$202,B55),0)</f>
        <v>0</v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7"/>
      <c r="G56" s="6"/>
      <c r="H56" s="8" t="n">
        <f aca="false">IF(C56="Limited Quantity (LQ)",SUMIFS($F$3:$F$202,$C$3:$C$202,"Limited Quantity (LQ)",$B$3:$B$202,B56),0)</f>
        <v>0</v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7"/>
      <c r="G57" s="6"/>
      <c r="H57" s="8" t="n">
        <f aca="false">IF(C57="Limited Quantity (LQ)",SUMIFS($F$3:$F$202,$C$3:$C$202,"Limited Quantity (LQ)",$B$3:$B$202,B57),0)</f>
        <v>0</v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7"/>
      <c r="G58" s="6"/>
      <c r="H58" s="8" t="n">
        <f aca="false">IF(C58="Limited Quantity (LQ)",SUMIFS($F$3:$F$202,$C$3:$C$202,"Limited Quantity (LQ)",$B$3:$B$202,B58),0)</f>
        <v>0</v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7"/>
      <c r="G59" s="6"/>
      <c r="H59" s="8" t="n">
        <f aca="false">IF(C59="Limited Quantity (LQ)",SUMIFS($F$3:$F$202,$C$3:$C$202,"Limited Quantity (LQ)",$B$3:$B$202,B59),0)</f>
        <v>0</v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7"/>
      <c r="G60" s="6"/>
      <c r="H60" s="8" t="n">
        <f aca="false">IF(C60="Limited Quantity (LQ)",SUMIFS($F$3:$F$202,$C$3:$C$202,"Limited Quantity (LQ)",$B$3:$B$202,B60),0)</f>
        <v>0</v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7"/>
      <c r="G61" s="6"/>
      <c r="H61" s="8" t="n">
        <f aca="false">IF(C61="Limited Quantity (LQ)",SUMIFS($F$3:$F$202,$C$3:$C$202,"Limited Quantity (LQ)",$B$3:$B$202,B61),0)</f>
        <v>0</v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7"/>
      <c r="G62" s="6"/>
      <c r="H62" s="8" t="n">
        <f aca="false">IF(C62="Limited Quantity (LQ)",SUMIFS($F$3:$F$202,$C$3:$C$202,"Limited Quantity (LQ)",$B$3:$B$202,B62),0)</f>
        <v>0</v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7"/>
      <c r="G63" s="6"/>
      <c r="H63" s="8" t="n">
        <f aca="false">IF(C63="Limited Quantity (LQ)",SUMIFS($F$3:$F$202,$C$3:$C$202,"Limited Quantity (LQ)",$B$3:$B$202,B63),0)</f>
        <v>0</v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7"/>
      <c r="G64" s="6"/>
      <c r="H64" s="8" t="n">
        <f aca="false">IF(C64="Limited Quantity (LQ)",SUMIFS($F$3:$F$202,$C$3:$C$202,"Limited Quantity (LQ)",$B$3:$B$202,B64),0)</f>
        <v>0</v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7"/>
      <c r="G65" s="6"/>
      <c r="H65" s="8" t="n">
        <f aca="false">IF(C65="Limited Quantity (LQ)",SUMIFS($F$3:$F$202,$C$3:$C$202,"Limited Quantity (LQ)",$B$3:$B$202,B65),0)</f>
        <v>0</v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7"/>
      <c r="G66" s="6"/>
      <c r="H66" s="8" t="n">
        <f aca="false">IF(C66="Limited Quantity (LQ)",SUMIFS($F$3:$F$202,$C$3:$C$202,"Limited Quantity (LQ)",$B$3:$B$202,B66),0)</f>
        <v>0</v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7"/>
      <c r="G67" s="6"/>
      <c r="H67" s="8" t="n">
        <f aca="false">IF(C67="Limited Quantity (LQ)",SUMIFS($F$3:$F$202,$C$3:$C$202,"Limited Quantity (LQ)",$B$3:$B$202,B67),0)</f>
        <v>0</v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7"/>
      <c r="G68" s="6"/>
      <c r="H68" s="8" t="n">
        <f aca="false">IF(C68="Limited Quantity (LQ)",SUMIFS($F$3:$F$202,$C$3:$C$202,"Limited Quantity (LQ)",$B$3:$B$202,B68),0)</f>
        <v>0</v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7"/>
      <c r="G69" s="6"/>
      <c r="H69" s="8" t="n">
        <f aca="false">IF(C69="Limited Quantity (LQ)",SUMIFS($F$3:$F$202,$C$3:$C$202,"Limited Quantity (LQ)",$B$3:$B$202,B69),0)</f>
        <v>0</v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7"/>
      <c r="G70" s="6"/>
      <c r="H70" s="8" t="n">
        <f aca="false">IF(C70="Limited Quantity (LQ)",SUMIFS($F$3:$F$202,$C$3:$C$202,"Limited Quantity (LQ)",$B$3:$B$202,B70),0)</f>
        <v>0</v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7"/>
      <c r="G71" s="6"/>
      <c r="H71" s="8" t="n">
        <f aca="false">IF(C71="Limited Quantity (LQ)",SUMIFS($F$3:$F$202,$C$3:$C$202,"Limited Quantity (LQ)",$B$3:$B$202,B71),0)</f>
        <v>0</v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7"/>
      <c r="G72" s="6"/>
      <c r="H72" s="8" t="n">
        <f aca="false">IF(C72="Limited Quantity (LQ)",SUMIFS($F$3:$F$202,$C$3:$C$202,"Limited Quantity (LQ)",$B$3:$B$202,B72),0)</f>
        <v>0</v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7"/>
      <c r="G73" s="6"/>
      <c r="H73" s="8" t="n">
        <f aca="false">IF(C73="Limited Quantity (LQ)",SUMIFS($F$3:$F$202,$C$3:$C$202,"Limited Quantity (LQ)",$B$3:$B$202,B73),0)</f>
        <v>0</v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7"/>
      <c r="G74" s="6"/>
      <c r="H74" s="8" t="n">
        <f aca="false">IF(C74="Limited Quantity (LQ)",SUMIFS($F$3:$F$202,$C$3:$C$202,"Limited Quantity (LQ)",$B$3:$B$202,B74),0)</f>
        <v>0</v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7"/>
      <c r="G75" s="6"/>
      <c r="H75" s="8" t="n">
        <f aca="false">IF(C75="Limited Quantity (LQ)",SUMIFS($F$3:$F$202,$C$3:$C$202,"Limited Quantity (LQ)",$B$3:$B$202,B75),0)</f>
        <v>0</v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7"/>
      <c r="G76" s="6"/>
      <c r="H76" s="8" t="n">
        <f aca="false">IF(C76="Limited Quantity (LQ)",SUMIFS($F$3:$F$202,$C$3:$C$202,"Limited Quantity (LQ)",$B$3:$B$202,B76),0)</f>
        <v>0</v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7"/>
      <c r="G77" s="6"/>
      <c r="H77" s="8" t="n">
        <f aca="false">IF(C77="Limited Quantity (LQ)",SUMIFS($F$3:$F$202,$C$3:$C$202,"Limited Quantity (LQ)",$B$3:$B$202,B77),0)</f>
        <v>0</v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7"/>
      <c r="G78" s="6"/>
      <c r="H78" s="8" t="n">
        <f aca="false">IF(C78="Limited Quantity (LQ)",SUMIFS($F$3:$F$202,$C$3:$C$202,"Limited Quantity (LQ)",$B$3:$B$202,B78),0)</f>
        <v>0</v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7"/>
      <c r="G79" s="6"/>
      <c r="H79" s="8" t="n">
        <f aca="false">IF(C79="Limited Quantity (LQ)",SUMIFS($F$3:$F$202,$C$3:$C$202,"Limited Quantity (LQ)",$B$3:$B$202,B79),0)</f>
        <v>0</v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7"/>
      <c r="G80" s="6"/>
      <c r="H80" s="8" t="n">
        <f aca="false">IF(C80="Limited Quantity (LQ)",SUMIFS($F$3:$F$202,$C$3:$C$202,"Limited Quantity (LQ)",$B$3:$B$202,B80),0)</f>
        <v>0</v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7"/>
      <c r="G81" s="6"/>
      <c r="H81" s="8" t="n">
        <f aca="false">IF(C81="Limited Quantity (LQ)",SUMIFS($F$3:$F$202,$C$3:$C$202,"Limited Quantity (LQ)",$B$3:$B$202,B81),0)</f>
        <v>0</v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7"/>
      <c r="G82" s="6"/>
      <c r="H82" s="8" t="n">
        <f aca="false">IF(C82="Limited Quantity (LQ)",SUMIFS($F$3:$F$202,$C$3:$C$202,"Limited Quantity (LQ)",$B$3:$B$202,B82),0)</f>
        <v>0</v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7"/>
      <c r="G83" s="6"/>
      <c r="H83" s="8" t="n">
        <f aca="false">IF(C83="Limited Quantity (LQ)",SUMIFS($F$3:$F$202,$C$3:$C$202,"Limited Quantity (LQ)",$B$3:$B$202,B83),0)</f>
        <v>0</v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7"/>
      <c r="G84" s="6"/>
      <c r="H84" s="8" t="n">
        <f aca="false">IF(C84="Limited Quantity (LQ)",SUMIFS($F$3:$F$202,$C$3:$C$202,"Limited Quantity (LQ)",$B$3:$B$202,B84),0)</f>
        <v>0</v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7"/>
      <c r="G85" s="6"/>
      <c r="H85" s="8" t="n">
        <f aca="false">IF(C85="Limited Quantity (LQ)",SUMIFS($F$3:$F$202,$C$3:$C$202,"Limited Quantity (LQ)",$B$3:$B$202,B85),0)</f>
        <v>0</v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7"/>
      <c r="G86" s="6"/>
      <c r="H86" s="8" t="n">
        <f aca="false">IF(C86="Limited Quantity (LQ)",SUMIFS($F$3:$F$202,$C$3:$C$202,"Limited Quantity (LQ)",$B$3:$B$202,B86),0)</f>
        <v>0</v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7"/>
      <c r="G87" s="6"/>
      <c r="H87" s="8" t="n">
        <f aca="false">IF(C87="Limited Quantity (LQ)",SUMIFS($F$3:$F$202,$C$3:$C$202,"Limited Quantity (LQ)",$B$3:$B$202,B87),0)</f>
        <v>0</v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7"/>
      <c r="G88" s="6"/>
      <c r="H88" s="8" t="n">
        <f aca="false">IF(C88="Limited Quantity (LQ)",SUMIFS($F$3:$F$202,$C$3:$C$202,"Limited Quantity (LQ)",$B$3:$B$202,B88),0)</f>
        <v>0</v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7"/>
      <c r="G89" s="6"/>
      <c r="H89" s="8" t="n">
        <f aca="false">IF(C89="Limited Quantity (LQ)",SUMIFS($F$3:$F$202,$C$3:$C$202,"Limited Quantity (LQ)",$B$3:$B$202,B89),0)</f>
        <v>0</v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7"/>
      <c r="G90" s="6"/>
      <c r="H90" s="8" t="n">
        <f aca="false">IF(C90="Limited Quantity (LQ)",SUMIFS($F$3:$F$202,$C$3:$C$202,"Limited Quantity (LQ)",$B$3:$B$202,B90),0)</f>
        <v>0</v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7"/>
      <c r="G91" s="6"/>
      <c r="H91" s="8" t="n">
        <f aca="false">IF(C91="Limited Quantity (LQ)",SUMIFS($F$3:$F$202,$C$3:$C$202,"Limited Quantity (LQ)",$B$3:$B$202,B91),0)</f>
        <v>0</v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7"/>
      <c r="G92" s="6"/>
      <c r="H92" s="8" t="n">
        <f aca="false">IF(C92="Limited Quantity (LQ)",SUMIFS($F$3:$F$202,$C$3:$C$202,"Limited Quantity (LQ)",$B$3:$B$202,B92),0)</f>
        <v>0</v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7"/>
      <c r="G93" s="6"/>
      <c r="H93" s="8" t="n">
        <f aca="false">IF(C93="Limited Quantity (LQ)",SUMIFS($F$3:$F$202,$C$3:$C$202,"Limited Quantity (LQ)",$B$3:$B$202,B93),0)</f>
        <v>0</v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7"/>
      <c r="G94" s="6"/>
      <c r="H94" s="8" t="n">
        <f aca="false">IF(C94="Limited Quantity (LQ)",SUMIFS($F$3:$F$202,$C$3:$C$202,"Limited Quantity (LQ)",$B$3:$B$202,B94),0)</f>
        <v>0</v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7"/>
      <c r="G95" s="6"/>
      <c r="H95" s="8" t="n">
        <f aca="false">IF(C95="Limited Quantity (LQ)",SUMIFS($F$3:$F$202,$C$3:$C$202,"Limited Quantity (LQ)",$B$3:$B$202,B95),0)</f>
        <v>0</v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7"/>
      <c r="G96" s="6"/>
      <c r="H96" s="8" t="n">
        <f aca="false">IF(C96="Limited Quantity (LQ)",SUMIFS($F$3:$F$202,$C$3:$C$202,"Limited Quantity (LQ)",$B$3:$B$202,B96),0)</f>
        <v>0</v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7"/>
      <c r="G97" s="6"/>
      <c r="H97" s="8" t="n">
        <f aca="false">IF(C97="Limited Quantity (LQ)",SUMIFS($F$3:$F$202,$C$3:$C$202,"Limited Quantity (LQ)",$B$3:$B$202,B97),0)</f>
        <v>0</v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7"/>
      <c r="G98" s="6"/>
      <c r="H98" s="8" t="n">
        <f aca="false">IF(C98="Limited Quantity (LQ)",SUMIFS($F$3:$F$202,$C$3:$C$202,"Limited Quantity (LQ)",$B$3:$B$202,B98),0)</f>
        <v>0</v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7"/>
      <c r="G99" s="6"/>
      <c r="H99" s="8" t="n">
        <f aca="false">IF(C99="Limited Quantity (LQ)",SUMIFS($F$3:$F$202,$C$3:$C$202,"Limited Quantity (LQ)",$B$3:$B$202,B99),0)</f>
        <v>0</v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7"/>
      <c r="G100" s="6"/>
      <c r="H100" s="8" t="n">
        <f aca="false">IF(C100="Limited Quantity (LQ)",SUMIFS($F$3:$F$202,$C$3:$C$202,"Limited Quantity (LQ)",$B$3:$B$202,B100),0)</f>
        <v>0</v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7"/>
      <c r="G101" s="6"/>
      <c r="H101" s="8" t="n">
        <f aca="false">IF(C101="Limited Quantity (LQ)",SUMIFS($F$3:$F$202,$C$3:$C$202,"Limited Quantity (LQ)",$B$3:$B$202,B101),0)</f>
        <v>0</v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7"/>
      <c r="G102" s="6"/>
      <c r="H102" s="8" t="n">
        <f aca="false">IF(C102="Limited Quantity (LQ)",SUMIFS($F$3:$F$202,$C$3:$C$202,"Limited Quantity (LQ)",$B$3:$B$202,B102),0)</f>
        <v>0</v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7"/>
      <c r="G103" s="6"/>
      <c r="H103" s="8" t="n">
        <f aca="false">IF(C103="Limited Quantity (LQ)",SUMIFS($F$3:$F$202,$C$3:$C$202,"Limited Quantity (LQ)",$B$3:$B$202,B103),0)</f>
        <v>0</v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7"/>
      <c r="G104" s="6"/>
      <c r="H104" s="8" t="n">
        <f aca="false">IF(C104="Limited Quantity (LQ)",SUMIFS($F$3:$F$202,$C$3:$C$202,"Limited Quantity (LQ)",$B$3:$B$202,B104),0)</f>
        <v>0</v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7"/>
      <c r="G105" s="6"/>
      <c r="H105" s="8" t="n">
        <f aca="false">IF(C105="Limited Quantity (LQ)",SUMIFS($F$3:$F$202,$C$3:$C$202,"Limited Quantity (LQ)",$B$3:$B$202,B105),0)</f>
        <v>0</v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7"/>
      <c r="G106" s="6"/>
      <c r="H106" s="8" t="n">
        <f aca="false">IF(C106="Limited Quantity (LQ)",SUMIFS($F$3:$F$202,$C$3:$C$202,"Limited Quantity (LQ)",$B$3:$B$202,B106),0)</f>
        <v>0</v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7"/>
      <c r="G107" s="6"/>
      <c r="H107" s="8" t="n">
        <f aca="false">IF(C107="Limited Quantity (LQ)",SUMIFS($F$3:$F$202,$C$3:$C$202,"Limited Quantity (LQ)",$B$3:$B$202,B107),0)</f>
        <v>0</v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7"/>
      <c r="G108" s="6"/>
      <c r="H108" s="8" t="n">
        <f aca="false">IF(C108="Limited Quantity (LQ)",SUMIFS($F$3:$F$202,$C$3:$C$202,"Limited Quantity (LQ)",$B$3:$B$202,B108),0)</f>
        <v>0</v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7"/>
      <c r="G109" s="6"/>
      <c r="H109" s="8" t="n">
        <f aca="false">IF(C109="Limited Quantity (LQ)",SUMIFS($F$3:$F$202,$C$3:$C$202,"Limited Quantity (LQ)",$B$3:$B$202,B109),0)</f>
        <v>0</v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7"/>
      <c r="G110" s="6"/>
      <c r="H110" s="8" t="n">
        <f aca="false">IF(C110="Limited Quantity (LQ)",SUMIFS($F$3:$F$202,$C$3:$C$202,"Limited Quantity (LQ)",$B$3:$B$202,B110),0)</f>
        <v>0</v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7"/>
      <c r="G111" s="6"/>
      <c r="H111" s="8" t="n">
        <f aca="false">IF(C111="Limited Quantity (LQ)",SUMIFS($F$3:$F$202,$C$3:$C$202,"Limited Quantity (LQ)",$B$3:$B$202,B111),0)</f>
        <v>0</v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7"/>
      <c r="G112" s="6"/>
      <c r="H112" s="8" t="n">
        <f aca="false">IF(C112="Limited Quantity (LQ)",SUMIFS($F$3:$F$202,$C$3:$C$202,"Limited Quantity (LQ)",$B$3:$B$202,B112),0)</f>
        <v>0</v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7"/>
      <c r="G113" s="6"/>
      <c r="H113" s="8" t="n">
        <f aca="false">IF(C113="Limited Quantity (LQ)",SUMIFS($F$3:$F$202,$C$3:$C$202,"Limited Quantity (LQ)",$B$3:$B$202,B113),0)</f>
        <v>0</v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7"/>
      <c r="G114" s="6"/>
      <c r="H114" s="8" t="n">
        <f aca="false">IF(C114="Limited Quantity (LQ)",SUMIFS($F$3:$F$202,$C$3:$C$202,"Limited Quantity (LQ)",$B$3:$B$202,B114),0)</f>
        <v>0</v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7"/>
      <c r="G115" s="6"/>
      <c r="H115" s="8" t="n">
        <f aca="false">IF(C115="Limited Quantity (LQ)",SUMIFS($F$3:$F$202,$C$3:$C$202,"Limited Quantity (LQ)",$B$3:$B$202,B115),0)</f>
        <v>0</v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7"/>
      <c r="G116" s="6"/>
      <c r="H116" s="8" t="n">
        <f aca="false">IF(C116="Limited Quantity (LQ)",SUMIFS($F$3:$F$202,$C$3:$C$202,"Limited Quantity (LQ)",$B$3:$B$202,B116),0)</f>
        <v>0</v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7"/>
      <c r="G117" s="6"/>
      <c r="H117" s="8" t="n">
        <f aca="false">IF(C117="Limited Quantity (LQ)",SUMIFS($F$3:$F$202,$C$3:$C$202,"Limited Quantity (LQ)",$B$3:$B$202,B117),0)</f>
        <v>0</v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7"/>
      <c r="G118" s="6"/>
      <c r="H118" s="8" t="n">
        <f aca="false">IF(C118="Limited Quantity (LQ)",SUMIFS($F$3:$F$202,$C$3:$C$202,"Limited Quantity (LQ)",$B$3:$B$202,B118),0)</f>
        <v>0</v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7"/>
      <c r="G119" s="6"/>
      <c r="H119" s="8" t="n">
        <f aca="false">IF(C119="Limited Quantity (LQ)",SUMIFS($F$3:$F$202,$C$3:$C$202,"Limited Quantity (LQ)",$B$3:$B$202,B119),0)</f>
        <v>0</v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7"/>
      <c r="G120" s="6"/>
      <c r="H120" s="8" t="n">
        <f aca="false">IF(C120="Limited Quantity (LQ)",SUMIFS($F$3:$F$202,$C$3:$C$202,"Limited Quantity (LQ)",$B$3:$B$202,B120),0)</f>
        <v>0</v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7"/>
      <c r="G121" s="6"/>
      <c r="H121" s="8" t="n">
        <f aca="false">IF(C121="Limited Quantity (LQ)",SUMIFS($F$3:$F$202,$C$3:$C$202,"Limited Quantity (LQ)",$B$3:$B$202,B121),0)</f>
        <v>0</v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7"/>
      <c r="G122" s="6"/>
      <c r="H122" s="8" t="n">
        <f aca="false">IF(C122="Limited Quantity (LQ)",SUMIFS($F$3:$F$202,$C$3:$C$202,"Limited Quantity (LQ)",$B$3:$B$202,B122),0)</f>
        <v>0</v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7"/>
      <c r="G123" s="6"/>
      <c r="H123" s="8" t="n">
        <f aca="false">IF(C123="Limited Quantity (LQ)",SUMIFS($F$3:$F$202,$C$3:$C$202,"Limited Quantity (LQ)",$B$3:$B$202,B123),0)</f>
        <v>0</v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7"/>
      <c r="G124" s="6"/>
      <c r="H124" s="8" t="n">
        <f aca="false">IF(C124="Limited Quantity (LQ)",SUMIFS($F$3:$F$202,$C$3:$C$202,"Limited Quantity (LQ)",$B$3:$B$202,B124),0)</f>
        <v>0</v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7"/>
      <c r="G125" s="6"/>
      <c r="H125" s="8" t="n">
        <f aca="false">IF(C125="Limited Quantity (LQ)",SUMIFS($F$3:$F$202,$C$3:$C$202,"Limited Quantity (LQ)",$B$3:$B$202,B125),0)</f>
        <v>0</v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7"/>
      <c r="G126" s="6"/>
      <c r="H126" s="8" t="n">
        <f aca="false">IF(C126="Limited Quantity (LQ)",SUMIFS($F$3:$F$202,$C$3:$C$202,"Limited Quantity (LQ)",$B$3:$B$202,B126),0)</f>
        <v>0</v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7"/>
      <c r="G127" s="6"/>
      <c r="H127" s="8" t="n">
        <f aca="false">IF(C127="Limited Quantity (LQ)",SUMIFS($F$3:$F$202,$C$3:$C$202,"Limited Quantity (LQ)",$B$3:$B$202,B127),0)</f>
        <v>0</v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7"/>
      <c r="G128" s="6"/>
      <c r="H128" s="8" t="n">
        <f aca="false">IF(C128="Limited Quantity (LQ)",SUMIFS($F$3:$F$202,$C$3:$C$202,"Limited Quantity (LQ)",$B$3:$B$202,B128),0)</f>
        <v>0</v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7"/>
      <c r="G129" s="6"/>
      <c r="H129" s="8" t="n">
        <f aca="false">IF(C129="Limited Quantity (LQ)",SUMIFS($F$3:$F$202,$C$3:$C$202,"Limited Quantity (LQ)",$B$3:$B$202,B129),0)</f>
        <v>0</v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7"/>
      <c r="G130" s="6"/>
      <c r="H130" s="8" t="n">
        <f aca="false">IF(C130="Limited Quantity (LQ)",SUMIFS($F$3:$F$202,$C$3:$C$202,"Limited Quantity (LQ)",$B$3:$B$202,B130),0)</f>
        <v>0</v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7"/>
      <c r="G131" s="6"/>
      <c r="H131" s="8" t="n">
        <f aca="false">IF(C131="Limited Quantity (LQ)",SUMIFS($F$3:$F$202,$C$3:$C$202,"Limited Quantity (LQ)",$B$3:$B$202,B131),0)</f>
        <v>0</v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7"/>
      <c r="G132" s="6"/>
      <c r="H132" s="8" t="n">
        <f aca="false">IF(C132="Limited Quantity (LQ)",SUMIFS($F$3:$F$202,$C$3:$C$202,"Limited Quantity (LQ)",$B$3:$B$202,B132),0)</f>
        <v>0</v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7"/>
      <c r="G133" s="6"/>
      <c r="H133" s="8" t="n">
        <f aca="false">IF(C133="Limited Quantity (LQ)",SUMIFS($F$3:$F$202,$C$3:$C$202,"Limited Quantity (LQ)",$B$3:$B$202,B133),0)</f>
        <v>0</v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7"/>
      <c r="G134" s="6"/>
      <c r="H134" s="8" t="n">
        <f aca="false">IF(C134="Limited Quantity (LQ)",SUMIFS($F$3:$F$202,$C$3:$C$202,"Limited Quantity (LQ)",$B$3:$B$202,B134),0)</f>
        <v>0</v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7"/>
      <c r="G135" s="6"/>
      <c r="H135" s="8" t="n">
        <f aca="false">IF(C135="Limited Quantity (LQ)",SUMIFS($F$3:$F$202,$C$3:$C$202,"Limited Quantity (LQ)",$B$3:$B$202,B135),0)</f>
        <v>0</v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7"/>
      <c r="G136" s="6"/>
      <c r="H136" s="8" t="n">
        <f aca="false">IF(C136="Limited Quantity (LQ)",SUMIFS($F$3:$F$202,$C$3:$C$202,"Limited Quantity (LQ)",$B$3:$B$202,B136),0)</f>
        <v>0</v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7"/>
      <c r="G137" s="6"/>
      <c r="H137" s="8" t="n">
        <f aca="false">IF(C137="Limited Quantity (LQ)",SUMIFS($F$3:$F$202,$C$3:$C$202,"Limited Quantity (LQ)",$B$3:$B$202,B137),0)</f>
        <v>0</v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7"/>
      <c r="G138" s="6"/>
      <c r="H138" s="8" t="n">
        <f aca="false">IF(C138="Limited Quantity (LQ)",SUMIFS($F$3:$F$202,$C$3:$C$202,"Limited Quantity (LQ)",$B$3:$B$202,B138),0)</f>
        <v>0</v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7"/>
      <c r="G139" s="6"/>
      <c r="H139" s="8" t="n">
        <f aca="false">IF(C139="Limited Quantity (LQ)",SUMIFS($F$3:$F$202,$C$3:$C$202,"Limited Quantity (LQ)",$B$3:$B$202,B139),0)</f>
        <v>0</v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7"/>
      <c r="G140" s="6"/>
      <c r="H140" s="8" t="n">
        <f aca="false">IF(C140="Limited Quantity (LQ)",SUMIFS($F$3:$F$202,$C$3:$C$202,"Limited Quantity (LQ)",$B$3:$B$202,B140),0)</f>
        <v>0</v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7"/>
      <c r="G141" s="6"/>
      <c r="H141" s="8" t="n">
        <f aca="false">IF(C141="Limited Quantity (LQ)",SUMIFS($F$3:$F$202,$C$3:$C$202,"Limited Quantity (LQ)",$B$3:$B$202,B141),0)</f>
        <v>0</v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7"/>
      <c r="G142" s="6"/>
      <c r="H142" s="8" t="n">
        <f aca="false">IF(C142="Limited Quantity (LQ)",SUMIFS($F$3:$F$202,$C$3:$C$202,"Limited Quantity (LQ)",$B$3:$B$202,B142),0)</f>
        <v>0</v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7"/>
      <c r="G143" s="6"/>
      <c r="H143" s="8" t="n">
        <f aca="false">IF(C143="Limited Quantity (LQ)",SUMIFS($F$3:$F$202,$C$3:$C$202,"Limited Quantity (LQ)",$B$3:$B$202,B143),0)</f>
        <v>0</v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7"/>
      <c r="G144" s="6"/>
      <c r="H144" s="8" t="n">
        <f aca="false">IF(C144="Limited Quantity (LQ)",SUMIFS($F$3:$F$202,$C$3:$C$202,"Limited Quantity (LQ)",$B$3:$B$202,B144),0)</f>
        <v>0</v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7"/>
      <c r="G145" s="6"/>
      <c r="H145" s="8" t="n">
        <f aca="false">IF(C145="Limited Quantity (LQ)",SUMIFS($F$3:$F$202,$C$3:$C$202,"Limited Quantity (LQ)",$B$3:$B$202,B145),0)</f>
        <v>0</v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7"/>
      <c r="G146" s="6"/>
      <c r="H146" s="8" t="n">
        <f aca="false">IF(C146="Limited Quantity (LQ)",SUMIFS($F$3:$F$202,$C$3:$C$202,"Limited Quantity (LQ)",$B$3:$B$202,B146),0)</f>
        <v>0</v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7"/>
      <c r="G147" s="6"/>
      <c r="H147" s="8" t="n">
        <f aca="false">IF(C147="Limited Quantity (LQ)",SUMIFS($F$3:$F$202,$C$3:$C$202,"Limited Quantity (LQ)",$B$3:$B$202,B147),0)</f>
        <v>0</v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7"/>
      <c r="G148" s="6"/>
      <c r="H148" s="8" t="n">
        <f aca="false">IF(C148="Limited Quantity (LQ)",SUMIFS($F$3:$F$202,$C$3:$C$202,"Limited Quantity (LQ)",$B$3:$B$202,B148),0)</f>
        <v>0</v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7"/>
      <c r="G149" s="6"/>
      <c r="H149" s="8" t="n">
        <f aca="false">IF(C149="Limited Quantity (LQ)",SUMIFS($F$3:$F$202,$C$3:$C$202,"Limited Quantity (LQ)",$B$3:$B$202,B149),0)</f>
        <v>0</v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7"/>
      <c r="G150" s="6"/>
      <c r="H150" s="8" t="n">
        <f aca="false">IF(C150="Limited Quantity (LQ)",SUMIFS($F$3:$F$202,$C$3:$C$202,"Limited Quantity (LQ)",$B$3:$B$202,B150),0)</f>
        <v>0</v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7"/>
      <c r="G151" s="6"/>
      <c r="H151" s="8" t="n">
        <f aca="false">IF(C151="Limited Quantity (LQ)",SUMIFS($F$3:$F$202,$C$3:$C$202,"Limited Quantity (LQ)",$B$3:$B$202,B151),0)</f>
        <v>0</v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7"/>
      <c r="G152" s="6"/>
      <c r="H152" s="8" t="n">
        <f aca="false">IF(C152="Limited Quantity (LQ)",SUMIFS($F$3:$F$202,$C$3:$C$202,"Limited Quantity (LQ)",$B$3:$B$202,B152),0)</f>
        <v>0</v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7"/>
      <c r="G153" s="6"/>
      <c r="H153" s="8" t="n">
        <f aca="false">IF(C153="Limited Quantity (LQ)",SUMIFS($F$3:$F$202,$C$3:$C$202,"Limited Quantity (LQ)",$B$3:$B$202,B153),0)</f>
        <v>0</v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7"/>
      <c r="G154" s="6"/>
      <c r="H154" s="8" t="n">
        <f aca="false">IF(C154="Limited Quantity (LQ)",SUMIFS($F$3:$F$202,$C$3:$C$202,"Limited Quantity (LQ)",$B$3:$B$202,B154),0)</f>
        <v>0</v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7"/>
      <c r="G155" s="6"/>
      <c r="H155" s="8" t="n">
        <f aca="false">IF(C155="Limited Quantity (LQ)",SUMIFS($F$3:$F$202,$C$3:$C$202,"Limited Quantity (LQ)",$B$3:$B$202,B155),0)</f>
        <v>0</v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7"/>
      <c r="G156" s="6"/>
      <c r="H156" s="8" t="n">
        <f aca="false">IF(C156="Limited Quantity (LQ)",SUMIFS($F$3:$F$202,$C$3:$C$202,"Limited Quantity (LQ)",$B$3:$B$202,B156),0)</f>
        <v>0</v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7"/>
      <c r="G157" s="6"/>
      <c r="H157" s="8" t="n">
        <f aca="false">IF(C157="Limited Quantity (LQ)",SUMIFS($F$3:$F$202,$C$3:$C$202,"Limited Quantity (LQ)",$B$3:$B$202,B157),0)</f>
        <v>0</v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7"/>
      <c r="G158" s="6"/>
      <c r="H158" s="8" t="n">
        <f aca="false">IF(C158="Limited Quantity (LQ)",SUMIFS($F$3:$F$202,$C$3:$C$202,"Limited Quantity (LQ)",$B$3:$B$202,B158),0)</f>
        <v>0</v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7"/>
      <c r="G159" s="6"/>
      <c r="H159" s="8" t="n">
        <f aca="false">IF(C159="Limited Quantity (LQ)",SUMIFS($F$3:$F$202,$C$3:$C$202,"Limited Quantity (LQ)",$B$3:$B$202,B159),0)</f>
        <v>0</v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7"/>
      <c r="G160" s="6"/>
      <c r="H160" s="8" t="n">
        <f aca="false">IF(C160="Limited Quantity (LQ)",SUMIFS($F$3:$F$202,$C$3:$C$202,"Limited Quantity (LQ)",$B$3:$B$202,B160),0)</f>
        <v>0</v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7"/>
      <c r="G161" s="6"/>
      <c r="H161" s="8" t="n">
        <f aca="false">IF(C161="Limited Quantity (LQ)",SUMIFS($F$3:$F$202,$C$3:$C$202,"Limited Quantity (LQ)",$B$3:$B$202,B161),0)</f>
        <v>0</v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7"/>
      <c r="G162" s="6"/>
      <c r="H162" s="8" t="n">
        <f aca="false">IF(C162="Limited Quantity (LQ)",SUMIFS($F$3:$F$202,$C$3:$C$202,"Limited Quantity (LQ)",$B$3:$B$202,B162),0)</f>
        <v>0</v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7"/>
      <c r="G163" s="6"/>
      <c r="H163" s="8" t="n">
        <f aca="false">IF(C163="Limited Quantity (LQ)",SUMIFS($F$3:$F$202,$C$3:$C$202,"Limited Quantity (LQ)",$B$3:$B$202,B163),0)</f>
        <v>0</v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7"/>
      <c r="G164" s="6"/>
      <c r="H164" s="8" t="n">
        <f aca="false">IF(C164="Limited Quantity (LQ)",SUMIFS($F$3:$F$202,$C$3:$C$202,"Limited Quantity (LQ)",$B$3:$B$202,B164),0)</f>
        <v>0</v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7"/>
      <c r="G165" s="6"/>
      <c r="H165" s="8" t="n">
        <f aca="false">IF(C165="Limited Quantity (LQ)",SUMIFS($F$3:$F$202,$C$3:$C$202,"Limited Quantity (LQ)",$B$3:$B$202,B165),0)</f>
        <v>0</v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7"/>
      <c r="G166" s="6"/>
      <c r="H166" s="8" t="n">
        <f aca="false">IF(C166="Limited Quantity (LQ)",SUMIFS($F$3:$F$202,$C$3:$C$202,"Limited Quantity (LQ)",$B$3:$B$202,B166),0)</f>
        <v>0</v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7"/>
      <c r="G167" s="6"/>
      <c r="H167" s="8" t="n">
        <f aca="false">IF(C167="Limited Quantity (LQ)",SUMIFS($F$3:$F$202,$C$3:$C$202,"Limited Quantity (LQ)",$B$3:$B$202,B167),0)</f>
        <v>0</v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7"/>
      <c r="G168" s="6"/>
      <c r="H168" s="8" t="n">
        <f aca="false">IF(C168="Limited Quantity (LQ)",SUMIFS($F$3:$F$202,$C$3:$C$202,"Limited Quantity (LQ)",$B$3:$B$202,B168),0)</f>
        <v>0</v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7"/>
      <c r="G169" s="6"/>
      <c r="H169" s="8" t="n">
        <f aca="false">IF(C169="Limited Quantity (LQ)",SUMIFS($F$3:$F$202,$C$3:$C$202,"Limited Quantity (LQ)",$B$3:$B$202,B169),0)</f>
        <v>0</v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7"/>
      <c r="G170" s="6"/>
      <c r="H170" s="8" t="n">
        <f aca="false">IF(C170="Limited Quantity (LQ)",SUMIFS($F$3:$F$202,$C$3:$C$202,"Limited Quantity (LQ)",$B$3:$B$202,B170),0)</f>
        <v>0</v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7"/>
      <c r="G171" s="6"/>
      <c r="H171" s="8" t="n">
        <f aca="false">IF(C171="Limited Quantity (LQ)",SUMIFS($F$3:$F$202,$C$3:$C$202,"Limited Quantity (LQ)",$B$3:$B$202,B171),0)</f>
        <v>0</v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7"/>
      <c r="G172" s="6"/>
      <c r="H172" s="8" t="n">
        <f aca="false">IF(C172="Limited Quantity (LQ)",SUMIFS($F$3:$F$202,$C$3:$C$202,"Limited Quantity (LQ)",$B$3:$B$202,B172),0)</f>
        <v>0</v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7"/>
      <c r="G173" s="6"/>
      <c r="H173" s="8" t="n">
        <f aca="false">IF(C173="Limited Quantity (LQ)",SUMIFS($F$3:$F$202,$C$3:$C$202,"Limited Quantity (LQ)",$B$3:$B$202,B173),0)</f>
        <v>0</v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7"/>
      <c r="G174" s="6"/>
      <c r="H174" s="8" t="n">
        <f aca="false">IF(C174="Limited Quantity (LQ)",SUMIFS($F$3:$F$202,$C$3:$C$202,"Limited Quantity (LQ)",$B$3:$B$202,B174),0)</f>
        <v>0</v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7"/>
      <c r="G175" s="6"/>
      <c r="H175" s="8" t="n">
        <f aca="false">IF(C175="Limited Quantity (LQ)",SUMIFS($F$3:$F$202,$C$3:$C$202,"Limited Quantity (LQ)",$B$3:$B$202,B175),0)</f>
        <v>0</v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7"/>
      <c r="G176" s="6"/>
      <c r="H176" s="8" t="n">
        <f aca="false">IF(C176="Limited Quantity (LQ)",SUMIFS($F$3:$F$202,$C$3:$C$202,"Limited Quantity (LQ)",$B$3:$B$202,B176),0)</f>
        <v>0</v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7"/>
      <c r="G177" s="6"/>
      <c r="H177" s="8" t="n">
        <f aca="false">IF(C177="Limited Quantity (LQ)",SUMIFS($F$3:$F$202,$C$3:$C$202,"Limited Quantity (LQ)",$B$3:$B$202,B177),0)</f>
        <v>0</v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7"/>
      <c r="G178" s="6"/>
      <c r="H178" s="8" t="n">
        <f aca="false">IF(C178="Limited Quantity (LQ)",SUMIFS($F$3:$F$202,$C$3:$C$202,"Limited Quantity (LQ)",$B$3:$B$202,B178),0)</f>
        <v>0</v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7"/>
      <c r="G179" s="6"/>
      <c r="H179" s="8" t="n">
        <f aca="false">IF(C179="Limited Quantity (LQ)",SUMIFS($F$3:$F$202,$C$3:$C$202,"Limited Quantity (LQ)",$B$3:$B$202,B179),0)</f>
        <v>0</v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7"/>
      <c r="G180" s="6"/>
      <c r="H180" s="8" t="n">
        <f aca="false">IF(C180="Limited Quantity (LQ)",SUMIFS($F$3:$F$202,$C$3:$C$202,"Limited Quantity (LQ)",$B$3:$B$202,B180),0)</f>
        <v>0</v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7"/>
      <c r="G181" s="6"/>
      <c r="H181" s="8" t="n">
        <f aca="false">IF(C181="Limited Quantity (LQ)",SUMIFS($F$3:$F$202,$C$3:$C$202,"Limited Quantity (LQ)",$B$3:$B$202,B181),0)</f>
        <v>0</v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7"/>
      <c r="G182" s="6"/>
      <c r="H182" s="8" t="n">
        <f aca="false">IF(C182="Limited Quantity (LQ)",SUMIFS($F$3:$F$202,$C$3:$C$202,"Limited Quantity (LQ)",$B$3:$B$202,B182),0)</f>
        <v>0</v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7"/>
      <c r="G183" s="6"/>
      <c r="H183" s="8" t="n">
        <f aca="false">IF(C183="Limited Quantity (LQ)",SUMIFS($F$3:$F$202,$C$3:$C$202,"Limited Quantity (LQ)",$B$3:$B$202,B183),0)</f>
        <v>0</v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7"/>
      <c r="G184" s="6"/>
      <c r="H184" s="8" t="n">
        <f aca="false">IF(C184="Limited Quantity (LQ)",SUMIFS($F$3:$F$202,$C$3:$C$202,"Limited Quantity (LQ)",$B$3:$B$202,B184),0)</f>
        <v>0</v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7"/>
      <c r="G185" s="6"/>
      <c r="H185" s="8" t="n">
        <f aca="false">IF(C185="Limited Quantity (LQ)",SUMIFS($F$3:$F$202,$C$3:$C$202,"Limited Quantity (LQ)",$B$3:$B$202,B185),0)</f>
        <v>0</v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7"/>
      <c r="G186" s="6"/>
      <c r="H186" s="8" t="n">
        <f aca="false">IF(C186="Limited Quantity (LQ)",SUMIFS($F$3:$F$202,$C$3:$C$202,"Limited Quantity (LQ)",$B$3:$B$202,B186),0)</f>
        <v>0</v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7"/>
      <c r="G187" s="6"/>
      <c r="H187" s="8" t="n">
        <f aca="false">IF(C187="Limited Quantity (LQ)",SUMIFS($F$3:$F$202,$C$3:$C$202,"Limited Quantity (LQ)",$B$3:$B$202,B187),0)</f>
        <v>0</v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7"/>
      <c r="G188" s="6"/>
      <c r="H188" s="8" t="n">
        <f aca="false">IF(C188="Limited Quantity (LQ)",SUMIFS($F$3:$F$202,$C$3:$C$202,"Limited Quantity (LQ)",$B$3:$B$202,B188),0)</f>
        <v>0</v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7"/>
      <c r="G189" s="6"/>
      <c r="H189" s="8" t="n">
        <f aca="false">IF(C189="Limited Quantity (LQ)",SUMIFS($F$3:$F$202,$C$3:$C$202,"Limited Quantity (LQ)",$B$3:$B$202,B189),0)</f>
        <v>0</v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7"/>
      <c r="G190" s="6"/>
      <c r="H190" s="8" t="n">
        <f aca="false">IF(C190="Limited Quantity (LQ)",SUMIFS($F$3:$F$202,$C$3:$C$202,"Limited Quantity (LQ)",$B$3:$B$202,B190),0)</f>
        <v>0</v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7"/>
      <c r="G191" s="6"/>
      <c r="H191" s="8" t="n">
        <f aca="false">IF(C191="Limited Quantity (LQ)",SUMIFS($F$3:$F$202,$C$3:$C$202,"Limited Quantity (LQ)",$B$3:$B$202,B191),0)</f>
        <v>0</v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7"/>
      <c r="G192" s="6"/>
      <c r="H192" s="8" t="n">
        <f aca="false">IF(C192="Limited Quantity (LQ)",SUMIFS($F$3:$F$202,$C$3:$C$202,"Limited Quantity (LQ)",$B$3:$B$202,B192),0)</f>
        <v>0</v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7"/>
      <c r="G193" s="6"/>
      <c r="H193" s="8" t="n">
        <f aca="false">IF(C193="Limited Quantity (LQ)",SUMIFS($F$3:$F$202,$C$3:$C$202,"Limited Quantity (LQ)",$B$3:$B$202,B193),0)</f>
        <v>0</v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7"/>
      <c r="G194" s="6"/>
      <c r="H194" s="8" t="n">
        <f aca="false">IF(C194="Limited Quantity (LQ)",SUMIFS($F$3:$F$202,$C$3:$C$202,"Limited Quantity (LQ)",$B$3:$B$202,B194),0)</f>
        <v>0</v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7"/>
      <c r="G195" s="6"/>
      <c r="H195" s="8" t="n">
        <f aca="false">IF(C195="Limited Quantity (LQ)",SUMIFS($F$3:$F$202,$C$3:$C$202,"Limited Quantity (LQ)",$B$3:$B$202,B195),0)</f>
        <v>0</v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7"/>
      <c r="G196" s="6"/>
      <c r="H196" s="8" t="n">
        <f aca="false">IF(C196="Limited Quantity (LQ)",SUMIFS($F$3:$F$202,$C$3:$C$202,"Limited Quantity (LQ)",$B$3:$B$202,B196),0)</f>
        <v>0</v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7"/>
      <c r="G197" s="6"/>
      <c r="H197" s="8" t="n">
        <f aca="false">IF(C197="Limited Quantity (LQ)",SUMIFS($F$3:$F$202,$C$3:$C$202,"Limited Quantity (LQ)",$B$3:$B$202,B197),0)</f>
        <v>0</v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7"/>
      <c r="G198" s="6"/>
      <c r="H198" s="8" t="n">
        <f aca="false">IF(C198="Limited Quantity (LQ)",SUMIFS($F$3:$F$202,$C$3:$C$202,"Limited Quantity (LQ)",$B$3:$B$202,B198),0)</f>
        <v>0</v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7"/>
      <c r="G199" s="6"/>
      <c r="H199" s="8" t="n">
        <f aca="false">IF(C199="Limited Quantity (LQ)",SUMIFS($F$3:$F$202,$C$3:$C$202,"Limited Quantity (LQ)",$B$3:$B$202,B199),0)</f>
        <v>0</v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7"/>
      <c r="G200" s="6"/>
      <c r="H200" s="8" t="n">
        <f aca="false">IF(C200="Limited Quantity (LQ)",SUMIFS($F$3:$F$202,$C$3:$C$202,"Limited Quantity (LQ)",$B$3:$B$202,B200),0)</f>
        <v>0</v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7"/>
      <c r="G201" s="6"/>
      <c r="H201" s="8" t="n">
        <f aca="false">IF(C201="Limited Quantity (LQ)",SUMIFS($F$3:$F$202,$C$3:$C$202,"Limited Quantity (LQ)",$B$3:$B$202,B201),0)</f>
        <v>0</v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7"/>
      <c r="G202" s="6"/>
      <c r="H202" s="8" t="n">
        <f aca="false">IF(C202="Limited Quantity (LQ)",SUMIFS($F$3:$F$202,$C$3:$C$202,"Limited Quantity (LQ)",$B$3:$B$202,B202),0)</f>
        <v>0</v>
      </c>
    </row>
    <row r="205" customFormat="false" ht="15" hidden="false" customHeight="false" outlineLevel="0" collapsed="false">
      <c r="A205" s="14" t="s">
        <v>42</v>
      </c>
    </row>
    <row r="206" customFormat="false" ht="27.75" hidden="false" customHeight="true" outlineLevel="0" collapsed="false">
      <c r="A206" s="15" t="s">
        <v>43</v>
      </c>
      <c r="B206" s="15"/>
      <c r="C206" s="15"/>
      <c r="D206" s="15"/>
      <c r="E206" s="15"/>
      <c r="F206" s="15"/>
      <c r="G206" s="15"/>
      <c r="H206" s="15"/>
    </row>
    <row r="207" customFormat="false" ht="27.75" hidden="false" customHeight="true" outlineLevel="0" collapsed="false">
      <c r="A207" s="15" t="s">
        <v>44</v>
      </c>
      <c r="B207" s="15"/>
      <c r="C207" s="15"/>
      <c r="D207" s="15"/>
      <c r="E207" s="15"/>
      <c r="F207" s="15"/>
      <c r="G207" s="15"/>
      <c r="H207" s="15"/>
    </row>
    <row r="208" customFormat="false" ht="27.75" hidden="false" customHeight="true" outlineLevel="0" collapsed="false">
      <c r="A208" s="15" t="s">
        <v>45</v>
      </c>
      <c r="B208" s="15"/>
      <c r="C208" s="15"/>
      <c r="D208" s="15"/>
      <c r="E208" s="15"/>
      <c r="F208" s="15"/>
      <c r="G208" s="15"/>
      <c r="H208" s="15"/>
    </row>
    <row r="209" customFormat="false" ht="27.75" hidden="false" customHeight="true" outlineLevel="0" collapsed="false">
      <c r="A209" s="15" t="s">
        <v>46</v>
      </c>
      <c r="B209" s="15"/>
      <c r="C209" s="15"/>
      <c r="D209" s="15"/>
      <c r="E209" s="15"/>
      <c r="F209" s="15"/>
      <c r="G209" s="15"/>
      <c r="H209" s="15"/>
    </row>
    <row r="210" customFormat="false" ht="27.75" hidden="false" customHeight="true" outlineLevel="0" collapsed="false">
      <c r="A210" s="15" t="s">
        <v>47</v>
      </c>
      <c r="B210" s="15"/>
      <c r="C210" s="15"/>
      <c r="D210" s="15"/>
      <c r="E210" s="15"/>
      <c r="F210" s="15"/>
      <c r="G210" s="15"/>
      <c r="H210" s="15"/>
    </row>
  </sheetData>
  <mergeCells count="10">
    <mergeCell ref="A1:H1"/>
    <mergeCell ref="J1:K1"/>
    <mergeCell ref="M2:N2"/>
    <mergeCell ref="J9:J10"/>
    <mergeCell ref="K9:K10"/>
    <mergeCell ref="A206:H206"/>
    <mergeCell ref="A207:H207"/>
    <mergeCell ref="A208:H208"/>
    <mergeCell ref="A209:H209"/>
    <mergeCell ref="A210:H210"/>
  </mergeCells>
  <conditionalFormatting sqref="K9:K10">
    <cfRule type="expression" priority="2" aboveAverage="0" equalAverage="0" bottom="0" percent="0" rank="0" text="" dxfId="0">
      <formula>ISNUMBER(SEARCH("PLACARD LOAD",$K$9))</formula>
    </cfRule>
    <cfRule type="expression" priority="3" aboveAverage="0" equalAverage="0" bottom="0" percent="0" rank="0" text="" dxfId="1">
      <formula>$K$9="Sub-Placard Load"</formula>
    </cfRule>
  </conditionalFormatting>
  <dataValidations count="3">
    <dataValidation allowBlank="true" error="Choose Fully Regulated or Limited Quantity (LQ)" errorStyle="stop" operator="between" prompt="Select transport type" showDropDown="false" showErrorMessage="false" showInputMessage="false" sqref="C3:C202" type="list">
      <formula1>"Fully Regulated,Limited Quantity (LQ)"</formula1>
      <formula2>0</formula2>
    </dataValidation>
    <dataValidation allowBlank="true" errorStyle="stop" operator="between" showDropDown="false" showErrorMessage="false" showInputMessage="false" sqref="E3:E202" type="list">
      <formula1>"I,II,III,N/A"</formula1>
      <formula2>0</formula2>
    </dataValidation>
    <dataValidation allowBlank="true" errorStyle="stop" operator="between" showDropDown="false" showErrorMessage="false" showInputMessage="false" sqref="G3:G20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2026-08-24T09:04:51Z</dcterms:created>
  <dc:creator>openpyxl</dc:creator>
  <dc:description/>
  <dc:language>en-US</dc:language>
  <cp:lastModifiedBy/>
  <dcterms:modified xsi:type="dcterms:W3CDTF">2026-08-24T09:04:51Z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