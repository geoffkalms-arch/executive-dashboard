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1 — Vehicle" sheetId="2" state="visible" r:id="rId2"/>
    <sheet xmlns:r="http://schemas.openxmlformats.org/officeDocument/2006/relationships" name="S2 — Application" sheetId="3" state="visible" r:id="rId3"/>
    <sheet xmlns:r="http://schemas.openxmlformats.org/officeDocument/2006/relationships" name="S3 — Existing System" sheetId="4" state="visible" r:id="rId4"/>
    <sheet xmlns:r="http://schemas.openxmlformats.org/officeDocument/2006/relationships" name="S4 — Performance" sheetId="5" state="visible" r:id="rId5"/>
    <sheet xmlns:r="http://schemas.openxmlformats.org/officeDocument/2006/relationships" name="S5 — PTO Selection" sheetId="6" state="visible" r:id="rId6"/>
    <sheet xmlns:r="http://schemas.openxmlformats.org/officeDocument/2006/relationships" name="S6 — Pump Selection" sheetId="7" state="visible" r:id="rId7"/>
    <sheet xmlns:r="http://schemas.openxmlformats.org/officeDocument/2006/relationships" name="S7 — Installation" sheetId="8" state="visible" r:id="rId8"/>
    <sheet xmlns:r="http://schemas.openxmlformats.org/officeDocument/2006/relationships" name="S8 — Final Summary" sheetId="9" state="visible" r:id="rId9"/>
    <sheet xmlns:r="http://schemas.openxmlformats.org/officeDocument/2006/relationships" name="APX —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1F3864"/>
      <sz val="10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i val="1"/>
      <color rgb="007F6000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7F6000"/>
      <sz val="10"/>
    </font>
    <font>
      <name val="Calibri"/>
      <i val="1"/>
      <color rgb="00375623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6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0" fillId="5" borderId="1" applyAlignment="1" pivotButton="0" quotePrefix="0" xfId="0">
      <alignment vertical="top" wrapText="1"/>
    </xf>
    <xf numFmtId="0" fontId="6" fillId="7" borderId="1" pivotButton="0" quotePrefix="0" xfId="0"/>
    <xf numFmtId="2" fontId="0" fillId="5" borderId="1" pivotButton="0" quotePrefix="0" xfId="0"/>
    <xf numFmtId="0" fontId="3" fillId="9" borderId="1" applyAlignment="1" pivotButton="0" quotePrefix="0" xfId="0">
      <alignment horizontal="left" vertical="center" wrapText="1"/>
    </xf>
    <xf numFmtId="2" fontId="11" fillId="9" borderId="1" applyAlignment="1" pivotButton="0" quotePrefix="0" xfId="0">
      <alignment horizontal="center" vertical="center"/>
    </xf>
    <xf numFmtId="0" fontId="12" fillId="9" borderId="1" pivotButton="0" quotePrefix="0" xfId="0"/>
    <xf numFmtId="164" fontId="0" fillId="5" borderId="1" pivotButton="0" quotePrefix="0" xfId="0"/>
    <xf numFmtId="0" fontId="3" fillId="10" borderId="1" applyAlignment="1" pivotButton="0" quotePrefix="0" xfId="0">
      <alignment horizontal="left" vertical="center" wrapText="1"/>
    </xf>
    <xf numFmtId="49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165" fontId="11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1" fontId="11" fillId="9" borderId="1" applyAlignment="1" pivotButton="0" quotePrefix="0" xfId="0">
      <alignment horizontal="center" vertical="center"/>
    </xf>
    <xf numFmtId="1" fontId="11" fillId="11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6" customWidth="1" min="3" max="3"/>
    <col width="20" customWidth="1" min="4" max="4"/>
  </cols>
  <sheetData>
    <row r="1" ht="8" customHeight="1"/>
    <row r="2" ht="8" customHeight="1"/>
    <row r="3" ht="8" customHeight="1"/>
    <row r="4" ht="40" customHeight="1">
      <c r="B4" s="1" t="inlineStr">
        <is>
          <t>PTO &amp; PTO PUMP
SPECIFICATION TEMPLATE</t>
        </is>
      </c>
    </row>
    <row r="5" ht="20" customHeight="1">
      <c r="B5" s="2" t="n"/>
      <c r="C5" s="2" t="n"/>
      <c r="D5" s="2" t="n"/>
    </row>
    <row r="6" ht="20" customHeight="1">
      <c r="B6" s="2" t="n"/>
      <c r="C6" s="2" t="n"/>
      <c r="D6" s="2" t="n"/>
    </row>
    <row r="7" ht="20" customHeight="1">
      <c r="B7" s="2" t="n"/>
      <c r="C7" s="2" t="n"/>
      <c r="D7" s="2" t="n"/>
    </row>
    <row r="8" ht="20" customHeight="1">
      <c r="B8" s="2" t="n"/>
      <c r="C8" s="2" t="n"/>
      <c r="D8" s="2" t="n"/>
    </row>
    <row r="9" ht="24" customHeight="1">
      <c r="B9" s="3" t="inlineStr">
        <is>
          <t>Fuel Pumping Vehicles — All Makes and Models</t>
        </is>
      </c>
    </row>
    <row r="11" ht="22" customHeight="1">
      <c r="B11" s="4" t="inlineStr">
        <is>
          <t>Prepared by</t>
        </is>
      </c>
      <c r="C11" s="5" t="inlineStr">
        <is>
          <t>Engineer name:</t>
        </is>
      </c>
      <c r="D11" s="6" t="n"/>
    </row>
    <row r="12" ht="22" customHeight="1">
      <c r="B12" s="4" t="inlineStr">
        <is>
          <t>Company</t>
        </is>
      </c>
      <c r="C12" s="5" t="inlineStr"/>
      <c r="D12" s="6" t="n"/>
    </row>
    <row r="13" ht="22" customHeight="1">
      <c r="B13" s="4" t="inlineStr">
        <is>
          <t>Vehicle</t>
        </is>
      </c>
      <c r="C13" s="5" t="inlineStr">
        <is>
          <t>Make / Model / VIN:</t>
        </is>
      </c>
      <c r="D13" s="6" t="n"/>
    </row>
    <row r="14" ht="22" customHeight="1">
      <c r="B14" s="4" t="inlineStr">
        <is>
          <t>Job number</t>
        </is>
      </c>
      <c r="C14" s="5" t="inlineStr"/>
      <c r="D14" s="6" t="n"/>
    </row>
    <row r="15" ht="22" customHeight="1">
      <c r="B15" s="4" t="inlineStr">
        <is>
          <t>Date</t>
        </is>
      </c>
      <c r="C15" s="5" t="inlineStr"/>
      <c r="D15" s="6" t="n"/>
    </row>
    <row r="16" ht="22" customHeight="1">
      <c r="B16" s="4" t="inlineStr">
        <is>
          <t>Revision</t>
        </is>
      </c>
      <c r="C16" s="5" t="inlineStr">
        <is>
          <t>Rev 0</t>
        </is>
      </c>
      <c r="D16" s="6" t="n"/>
    </row>
    <row r="18" ht="8" customHeight="1"/>
    <row r="19" ht="80" customHeight="1">
      <c r="B19" s="7" t="inlineStr">
        <is>
          <t>HOW TO USE THIS WORKBOOK
Work through the sheets in order: S1 → S2 → S3 → S4 → S5 → S6 → S7 → S8 → APX.
Yellow cells contain formulas — do not overwrite them.
White cells are data entry fields. Grey cells are reference only.
Complete every section — each feeds the next. Flag unknowns in the Notes column.</t>
        </is>
      </c>
    </row>
    <row r="21">
      <c r="B21" s="8" t="inlineStr">
        <is>
          <t>Harlow (Heavy Vehicle Body Engineer) + Petra (Process &amp; Instrumentation Engineer) — The Works</t>
        </is>
      </c>
    </row>
  </sheetData>
  <mergeCells count="4">
    <mergeCell ref="B4:D8"/>
    <mergeCell ref="B9:D9"/>
    <mergeCell ref="B19:D19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6" customWidth="1" min="3" max="3"/>
    <col width="12" customWidth="1" min="4" max="4"/>
  </cols>
  <sheetData>
    <row r="1" ht="22" customHeight="1">
      <c r="A1" s="9" t="inlineStr">
        <is>
          <t>SECTION 1 — Vehicle Information</t>
        </is>
      </c>
      <c r="B1" s="10" t="n"/>
      <c r="C1" s="10" t="n"/>
      <c r="D1" s="11" t="n"/>
    </row>
    <row r="2" ht="30" customHeight="1">
      <c r="A2" s="12" t="inlineStr">
        <is>
          <t>Purpose: Establish the chassis you are working with. Every PTO selection depends on the transmission. Confirm all fields from the compliance plate, OEM spec sheet, and BBI before proceeding.</t>
        </is>
      </c>
    </row>
    <row r="3" ht="28" customHeight="1">
      <c r="A3" s="13" t="inlineStr">
        <is>
          <t>Field</t>
        </is>
      </c>
      <c r="B3" s="13" t="inlineStr">
        <is>
          <t>Entry</t>
        </is>
      </c>
      <c r="C3" s="13" t="inlineStr">
        <is>
          <t>Source / Notes</t>
        </is>
      </c>
      <c r="D3" s="13" t="inlineStr"/>
    </row>
    <row r="4" ht="18" customHeight="1">
      <c r="A4" s="14" t="inlineStr">
        <is>
          <t>Vehicle make</t>
        </is>
      </c>
      <c r="B4" s="5" t="inlineStr"/>
      <c r="C4" s="15" t="inlineStr"/>
    </row>
    <row r="5" ht="18" customHeight="1">
      <c r="A5" s="14" t="inlineStr">
        <is>
          <t>Vehicle model</t>
        </is>
      </c>
      <c r="B5" s="5" t="inlineStr"/>
      <c r="C5" s="15" t="inlineStr"/>
    </row>
    <row r="6" ht="18" customHeight="1">
      <c r="A6" s="14" t="inlineStr">
        <is>
          <t>Model year</t>
        </is>
      </c>
      <c r="B6" s="5" t="inlineStr"/>
      <c r="C6" s="15" t="inlineStr"/>
    </row>
    <row r="7" ht="18" customHeight="1">
      <c r="A7" s="14" t="inlineStr">
        <is>
          <t>VIN / chassis number</t>
        </is>
      </c>
      <c r="B7" s="5" t="inlineStr"/>
      <c r="C7" s="15" t="inlineStr">
        <is>
          <t>Confirm from compliance plate</t>
        </is>
      </c>
    </row>
    <row r="8" ht="18" customHeight="1">
      <c r="A8" s="14" t="inlineStr">
        <is>
          <t>Engine make and model</t>
        </is>
      </c>
      <c r="B8" s="5" t="inlineStr"/>
      <c r="C8" s="15" t="inlineStr"/>
    </row>
    <row r="9" ht="18" customHeight="1">
      <c r="A9" s="14" t="inlineStr">
        <is>
          <t>Engine max power (kW)</t>
        </is>
      </c>
      <c r="B9" s="5" t="inlineStr"/>
      <c r="C9" s="15" t="inlineStr">
        <is>
          <t>kW @ rpm — from OEM spec sheet</t>
        </is>
      </c>
    </row>
    <row r="10" ht="18" customHeight="1">
      <c r="A10" s="14" t="inlineStr">
        <is>
          <t>Engine max power (rpm)</t>
        </is>
      </c>
      <c r="B10" s="5" t="inlineStr"/>
      <c r="C10" s="15" t="inlineStr">
        <is>
          <t>rpm at max power</t>
        </is>
      </c>
    </row>
    <row r="11" ht="18" customHeight="1">
      <c r="A11" s="14" t="inlineStr">
        <is>
          <t>Engine max torque (Nm)</t>
        </is>
      </c>
      <c r="B11" s="5" t="inlineStr"/>
      <c r="C11" s="15" t="inlineStr">
        <is>
          <t>Nm @ rpm — from OEM spec sheet</t>
        </is>
      </c>
    </row>
    <row r="12" ht="18" customHeight="1">
      <c r="A12" s="14" t="inlineStr">
        <is>
          <t>Engine max torque (rpm)</t>
        </is>
      </c>
      <c r="B12" s="5" t="inlineStr"/>
      <c r="C12" s="15" t="inlineStr">
        <is>
          <t>rpm at max torque</t>
        </is>
      </c>
    </row>
    <row r="13" ht="18" customHeight="1">
      <c r="A13" s="14" t="inlineStr">
        <is>
          <t>Engine governed speed (max RPM)</t>
        </is>
      </c>
      <c r="B13" s="5" t="inlineStr"/>
      <c r="C13" s="15" t="inlineStr">
        <is>
          <t>rpm — from OEM spec sheet</t>
        </is>
      </c>
    </row>
    <row r="14" ht="18" customHeight="1">
      <c r="A14" s="14" t="inlineStr">
        <is>
          <t>Transmission make and model</t>
        </is>
      </c>
      <c r="B14" s="5" t="inlineStr"/>
      <c r="C14" s="15" t="inlineStr">
        <is>
          <t>e.g. Allison 3000, ZF 9-speed, Eaton Fuller</t>
        </is>
      </c>
    </row>
    <row r="15" ht="18" customHeight="1">
      <c r="A15" s="14" t="inlineStr">
        <is>
          <t>Transmission type</t>
        </is>
      </c>
      <c r="B15" s="5" t="inlineStr"/>
      <c r="C15" s="15" t="inlineStr">
        <is>
          <t>Manual / AMT / Automatic (AT) / Torque Converter</t>
        </is>
      </c>
    </row>
    <row r="16" ht="18" customHeight="1">
      <c r="A16" s="14" t="inlineStr">
        <is>
          <t>Transmission serial number</t>
        </is>
      </c>
      <c r="B16" s="5" t="inlineStr"/>
      <c r="C16" s="15" t="inlineStr">
        <is>
          <t>From transmission ID plate</t>
        </is>
      </c>
    </row>
    <row r="17" ht="18" customHeight="1">
      <c r="A17" s="14" t="inlineStr">
        <is>
          <t>Number of PTO ports available</t>
        </is>
      </c>
      <c r="B17" s="5" t="inlineStr"/>
      <c r="C17" s="15" t="inlineStr">
        <is>
          <t>Check OEM Body Builder Instructions (BBI)</t>
        </is>
      </c>
    </row>
    <row r="18" ht="18" customHeight="1">
      <c r="A18" s="14" t="inlineStr">
        <is>
          <t>PTO port locations available</t>
        </is>
      </c>
      <c r="B18" s="5" t="inlineStr"/>
      <c r="C18" s="15" t="inlineStr">
        <is>
          <t>Top / Side LH / Side RH / Rear / Front</t>
        </is>
      </c>
    </row>
    <row r="19" ht="18" customHeight="1">
      <c r="A19" s="14" t="inlineStr">
        <is>
          <t>GVM (kg)</t>
        </is>
      </c>
      <c r="B19" s="5" t="inlineStr"/>
      <c r="C19" s="15" t="inlineStr"/>
    </row>
    <row r="20" ht="18" customHeight="1">
      <c r="A20" s="14" t="inlineStr">
        <is>
          <t>GCM (kg, if applicable)</t>
        </is>
      </c>
      <c r="B20" s="5" t="inlineStr"/>
      <c r="C20" s="15" t="inlineStr"/>
    </row>
    <row r="21" ht="18" customHeight="1">
      <c r="A21" s="14" t="inlineStr">
        <is>
          <t>BBI document title and revision</t>
        </is>
      </c>
      <c r="B21" s="5" t="inlineStr"/>
      <c r="C21" s="15" t="inlineStr">
        <is>
          <t>Record exact document title and rev number</t>
        </is>
      </c>
    </row>
    <row r="23" ht="18" customHeight="1">
      <c r="A23" s="16" t="inlineStr">
        <is>
          <t>Notes / Observations</t>
        </is>
      </c>
      <c r="B23" s="10" t="n"/>
      <c r="C23" s="10" t="n"/>
      <c r="D23" s="11" t="n"/>
    </row>
    <row r="24" ht="18" customHeight="1">
      <c r="A24" s="17" t="inlineStr"/>
    </row>
    <row r="25" ht="18" customHeight="1"/>
    <row r="26" ht="18" customHeight="1"/>
    <row r="27" ht="18" customHeight="1"/>
  </sheetData>
  <mergeCells count="4">
    <mergeCell ref="A1:D1"/>
    <mergeCell ref="A23:D23"/>
    <mergeCell ref="A24:D2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6" customWidth="1" min="3" max="3"/>
  </cols>
  <sheetData>
    <row r="1" ht="22" customHeight="1">
      <c r="A1" s="9" t="inlineStr">
        <is>
          <t>SECTION 2 — Application Information</t>
        </is>
      </c>
      <c r="B1" s="10" t="n"/>
      <c r="C1" s="11" t="n"/>
    </row>
    <row r="2" ht="30" customHeight="1">
      <c r="A2" s="12" t="inlineStr">
        <is>
          <t>Purpose: Define what the vehicle does. Fuel type and duty cycle drive every subsequent decision — especially NPSH and fluid compatibility.</t>
        </is>
      </c>
    </row>
    <row r="3" ht="28" customHeight="1">
      <c r="A3" s="13" t="inlineStr">
        <is>
          <t>Field</t>
        </is>
      </c>
      <c r="B3" s="13" t="inlineStr">
        <is>
          <t>Entry</t>
        </is>
      </c>
      <c r="C3" s="13" t="inlineStr">
        <is>
          <t>Notes</t>
        </is>
      </c>
    </row>
    <row r="4" ht="20" customHeight="1">
      <c r="A4" s="14" t="inlineStr">
        <is>
          <t>Application type</t>
        </is>
      </c>
      <c r="B4" s="5" t="inlineStr"/>
      <c r="C4" s="15" t="inlineStr">
        <is>
          <t>Fuel delivery / Bulk fuel / Aviation / LPG / Chemical / Other</t>
        </is>
      </c>
    </row>
    <row r="5" ht="20" customHeight="1">
      <c r="A5" s="14" t="inlineStr">
        <is>
          <t>Fuel / product ADG class</t>
        </is>
      </c>
      <c r="B5" s="5" t="inlineStr"/>
      <c r="C5" s="15" t="inlineStr">
        <is>
          <t>Class 2.1 LPG / Class 3 flammable liquid / Class 6 / Class 8</t>
        </is>
      </c>
    </row>
    <row r="6" ht="20" customHeight="1">
      <c r="A6" s="14" t="inlineStr">
        <is>
          <t>Fluid being pumped</t>
        </is>
      </c>
      <c r="B6" s="5" t="inlineStr"/>
      <c r="C6" s="15" t="inlineStr">
        <is>
          <t>e.g. diesel, petrol, avgas, LPG</t>
        </is>
      </c>
    </row>
    <row r="7" ht="20" customHeight="1">
      <c r="A7" s="14" t="inlineStr">
        <is>
          <t>Fluid vapour pressure at max operating temp (kPa abs)</t>
        </is>
      </c>
      <c r="B7" s="5" t="inlineStr"/>
      <c r="C7" s="15" t="inlineStr">
        <is>
          <t>Required for NPSH — see S4</t>
        </is>
      </c>
    </row>
    <row r="8" ht="20" customHeight="1">
      <c r="A8" s="14" t="inlineStr">
        <is>
          <t>Fluid density at operating temperature (kg/m³)</t>
        </is>
      </c>
      <c r="B8" s="5" t="inlineStr"/>
      <c r="C8" s="15" t="inlineStr">
        <is>
          <t>e.g. diesel ~830 kg/m³</t>
        </is>
      </c>
    </row>
    <row r="9" ht="20" customHeight="1">
      <c r="A9" s="14" t="inlineStr">
        <is>
          <t>Fluid viscosity at operating temperature (cSt)</t>
        </is>
      </c>
      <c r="B9" s="5" t="inlineStr"/>
      <c r="C9" s="15" t="inlineStr">
        <is>
          <t>Required for pump selection</t>
        </is>
      </c>
    </row>
    <row r="10" ht="20" customHeight="1">
      <c r="A10" s="14" t="inlineStr">
        <is>
          <t>Max operating temperature of fluid (°C)</t>
        </is>
      </c>
      <c r="B10" s="5" t="inlineStr"/>
      <c r="C10" s="15" t="inlineStr"/>
    </row>
    <row r="11" ht="20" customHeight="1">
      <c r="A11" s="14" t="inlineStr">
        <is>
          <t>Min ambient temperature — cold start (°C)</t>
        </is>
      </c>
      <c r="B11" s="5" t="inlineStr"/>
      <c r="C11" s="15" t="inlineStr">
        <is>
          <t>Affects viscosity and pump priming</t>
        </is>
      </c>
    </row>
    <row r="12" ht="20" customHeight="1">
      <c r="A12" s="14" t="inlineStr">
        <is>
          <t>Required delivery flow rate (L/min)</t>
        </is>
      </c>
      <c r="B12" s="5" t="inlineStr"/>
      <c r="C12" s="15" t="inlineStr">
        <is>
          <t>Owner/customer specification</t>
        </is>
      </c>
    </row>
    <row r="13" ht="20" customHeight="1">
      <c r="A13" s="14" t="inlineStr">
        <is>
          <t>Required operating pressure — differential (kPa)</t>
        </is>
      </c>
      <c r="B13" s="5" t="inlineStr"/>
      <c r="C13" s="15" t="inlineStr">
        <is>
          <t>Owner/customer specification</t>
        </is>
      </c>
    </row>
    <row r="14" ht="20" customHeight="1">
      <c r="A14" s="14" t="inlineStr">
        <is>
          <t>Duty cycle</t>
        </is>
      </c>
      <c r="B14" s="5" t="inlineStr"/>
      <c r="C14" s="15" t="inlineStr">
        <is>
          <t>Continuous &gt;30 min / Intermittent &lt;30 min / Short burst &lt;5 min</t>
        </is>
      </c>
    </row>
    <row r="15" ht="20" customHeight="1">
      <c r="A15" s="14" t="inlineStr">
        <is>
          <t>Expected daily operating hours (hr/day)</t>
        </is>
      </c>
      <c r="B15" s="5" t="inlineStr"/>
      <c r="C15" s="15" t="inlineStr">
        <is>
          <t>For service life calculation</t>
        </is>
      </c>
    </row>
    <row r="16" ht="20" customHeight="1">
      <c r="A16" s="14" t="inlineStr">
        <is>
          <t>Vehicle operating environment</t>
        </is>
      </c>
      <c r="B16" s="5" t="inlineStr"/>
      <c r="C16" s="15" t="inlineStr">
        <is>
          <t>On-road / Off-road / Both</t>
        </is>
      </c>
    </row>
    <row r="18" ht="18" customHeight="1">
      <c r="A18" s="16" t="inlineStr">
        <is>
          <t>Notes / Observations</t>
        </is>
      </c>
      <c r="B18" s="10" t="n"/>
      <c r="C18" s="11" t="n"/>
    </row>
    <row r="19" ht="18" customHeight="1">
      <c r="A19" s="17" t="inlineStr"/>
    </row>
    <row r="20" ht="18" customHeight="1"/>
    <row r="21" ht="18" customHeight="1"/>
    <row r="22" ht="18" customHeight="1"/>
  </sheetData>
  <mergeCells count="4">
    <mergeCell ref="A1:C1"/>
    <mergeCell ref="A18:C18"/>
    <mergeCell ref="A19:C22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6" customWidth="1" min="3" max="3"/>
  </cols>
  <sheetData>
    <row r="1" ht="22" customHeight="1">
      <c r="A1" s="9" t="inlineStr">
        <is>
          <t>SECTION 3 — Existing System (Rehorse / Modification Only)</t>
        </is>
      </c>
      <c r="B1" s="10" t="n"/>
      <c r="C1" s="11" t="n"/>
    </row>
    <row r="2" ht="30" customHeight="1">
      <c r="A2" s="12" t="inlineStr">
        <is>
          <t>Complete this section only if modifying or rehorsing an existing pump system. Skip if new build — proceed directly to Section 4.</t>
        </is>
      </c>
    </row>
    <row r="3" ht="28" customHeight="1">
      <c r="A3" s="13" t="inlineStr">
        <is>
          <t>Field</t>
        </is>
      </c>
      <c r="B3" s="13" t="inlineStr">
        <is>
          <t>Entry</t>
        </is>
      </c>
      <c r="C3" s="13" t="inlineStr">
        <is>
          <t>Notes</t>
        </is>
      </c>
    </row>
    <row r="4" ht="18" customHeight="1">
      <c r="A4" s="14" t="inlineStr">
        <is>
          <t>Existing PTO make and model</t>
        </is>
      </c>
      <c r="B4" s="5" t="inlineStr"/>
      <c r="C4" s="15" t="inlineStr"/>
    </row>
    <row r="5" ht="18" customHeight="1">
      <c r="A5" s="14" t="inlineStr">
        <is>
          <t>Existing PTO ratio (:1)</t>
        </is>
      </c>
      <c r="B5" s="5" t="inlineStr"/>
      <c r="C5" s="15" t="inlineStr"/>
    </row>
    <row r="6" ht="18" customHeight="1">
      <c r="A6" s="14" t="inlineStr">
        <is>
          <t>Existing pump make and model</t>
        </is>
      </c>
      <c r="B6" s="5" t="inlineStr"/>
      <c r="C6" s="15" t="inlineStr"/>
    </row>
    <row r="7" ht="18" customHeight="1">
      <c r="A7" s="14" t="inlineStr">
        <is>
          <t>Existing pump displacement (cc/rev)</t>
        </is>
      </c>
      <c r="B7" s="5" t="inlineStr"/>
      <c r="C7" s="15" t="inlineStr"/>
    </row>
    <row r="8" ht="18" customHeight="1">
      <c r="A8" s="14" t="inlineStr">
        <is>
          <t>Existing pump max speed (rpm)</t>
        </is>
      </c>
      <c r="B8" s="5" t="inlineStr"/>
      <c r="C8" s="15" t="inlineStr"/>
    </row>
    <row r="9" ht="18" customHeight="1">
      <c r="A9" s="14" t="inlineStr">
        <is>
          <t>Known issues with existing system</t>
        </is>
      </c>
      <c r="B9" s="5" t="inlineStr"/>
      <c r="C9" s="15" t="inlineStr"/>
    </row>
    <row r="10" ht="18" customHeight="1">
      <c r="A10" s="14" t="inlineStr">
        <is>
          <t>Reason for replacement / modification</t>
        </is>
      </c>
      <c r="B10" s="5" t="inlineStr"/>
      <c r="C10" s="15" t="inlineStr"/>
    </row>
    <row r="11" ht="18" customHeight="1">
      <c r="A11" s="14" t="inlineStr">
        <is>
          <t>Existing drawings or approvals to carry over</t>
        </is>
      </c>
      <c r="B11" s="5" t="inlineStr"/>
      <c r="C11" s="15" t="inlineStr">
        <is>
          <t>Note document numbers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22" customWidth="1" min="4" max="4"/>
    <col width="16" customWidth="1" min="5" max="5"/>
  </cols>
  <sheetData>
    <row r="1" ht="22" customHeight="1">
      <c r="A1" s="9" t="inlineStr">
        <is>
          <t>SECTION 4 — System Performance Requirements</t>
        </is>
      </c>
      <c r="B1" s="10" t="n"/>
      <c r="C1" s="10" t="n"/>
      <c r="D1" s="10" t="n"/>
      <c r="E1" s="11" t="n"/>
    </row>
    <row r="2" ht="30" customHeight="1">
      <c r="A2" s="12" t="inlineStr">
        <is>
          <t>Define the numbers the pump must hit. Do not proceed to Sections 5 or 6 until flow, pressure, and power requirements are confirmed. Yellow cells calculate automatically once inputs are entered.</t>
        </is>
      </c>
    </row>
    <row r="4" ht="18" customHeight="1">
      <c r="A4" s="16" t="inlineStr">
        <is>
          <t>4.1  Flow and Pressure Requirements</t>
        </is>
      </c>
      <c r="B4" s="10" t="n"/>
      <c r="C4" s="10" t="n"/>
      <c r="D4" s="10" t="n"/>
      <c r="E4" s="11" t="n"/>
    </row>
    <row r="5" ht="28" customHeight="1">
      <c r="A5" s="13" t="inlineStr">
        <is>
          <t>Parameter</t>
        </is>
      </c>
      <c r="B5" s="13" t="inlineStr">
        <is>
          <t>Value</t>
        </is>
      </c>
      <c r="C5" s="13" t="inlineStr">
        <is>
          <t>Units</t>
        </is>
      </c>
      <c r="D5" s="13" t="inlineStr">
        <is>
          <t>Confirmed by</t>
        </is>
      </c>
      <c r="E5" s="13" t="inlineStr">
        <is>
          <t>Date</t>
        </is>
      </c>
    </row>
    <row r="6" ht="18" customHeight="1">
      <c r="A6" s="14" t="inlineStr">
        <is>
          <t>Minimum delivery flow rate</t>
        </is>
      </c>
      <c r="B6" s="5" t="inlineStr"/>
      <c r="C6" s="15" t="inlineStr">
        <is>
          <t>L/min</t>
        </is>
      </c>
      <c r="D6" s="5" t="inlineStr"/>
      <c r="E6" s="5" t="inlineStr"/>
    </row>
    <row r="7" ht="18" customHeight="1">
      <c r="A7" s="14" t="inlineStr">
        <is>
          <t>Maximum delivery flow rate</t>
        </is>
      </c>
      <c r="B7" s="5" t="inlineStr"/>
      <c r="C7" s="15" t="inlineStr">
        <is>
          <t>L/min</t>
        </is>
      </c>
      <c r="D7" s="5" t="inlineStr"/>
      <c r="E7" s="5" t="inlineStr"/>
    </row>
    <row r="8" ht="18" customHeight="1">
      <c r="A8" s="14" t="inlineStr">
        <is>
          <t>Operating differential pressure</t>
        </is>
      </c>
      <c r="B8" s="5" t="inlineStr"/>
      <c r="C8" s="15" t="inlineStr">
        <is>
          <t>kPa</t>
        </is>
      </c>
      <c r="D8" s="5" t="inlineStr"/>
      <c r="E8" s="5" t="inlineStr"/>
    </row>
    <row r="9" ht="18" customHeight="1">
      <c r="A9" s="14" t="inlineStr">
        <is>
          <t>Maximum allowable system pressure</t>
        </is>
      </c>
      <c r="B9" s="5" t="inlineStr"/>
      <c r="C9" s="15" t="inlineStr">
        <is>
          <t>kPa</t>
        </is>
      </c>
      <c r="D9" s="5" t="inlineStr"/>
      <c r="E9" s="5" t="inlineStr"/>
    </row>
    <row r="10" ht="18" customHeight="1">
      <c r="A10" s="14" t="inlineStr">
        <is>
          <t>Relief valve set pressure</t>
        </is>
      </c>
      <c r="B10" s="5" t="inlineStr"/>
      <c r="C10" s="15" t="inlineStr">
        <is>
          <t>kPa — must be ≤ max system pressure</t>
        </is>
      </c>
      <c r="D10" s="5" t="inlineStr"/>
      <c r="E10" s="5" t="inlineStr"/>
    </row>
    <row r="12" ht="18" customHeight="1">
      <c r="A12" s="16" t="inlineStr">
        <is>
          <t>4.2  Pump Power Requirement</t>
        </is>
      </c>
      <c r="B12" s="10" t="n"/>
      <c r="C12" s="10" t="n"/>
      <c r="D12" s="10" t="n"/>
      <c r="E12" s="11" t="n"/>
    </row>
    <row r="13" ht="30" customHeight="1">
      <c r="A13" s="12" t="inlineStr">
        <is>
          <t>Formula: Pump shaft power (kW) = [Flow (L/min) × Pressure (kPa)] ÷ [60,000 × Pump efficiency]   Gear/Vane pump: 0.80–0.88 efficiency  |  Piston pump: 0.85–0.93 efficiency</t>
        </is>
      </c>
    </row>
    <row r="14" ht="28" customHeight="1">
      <c r="A14" s="13" t="inlineStr">
        <is>
          <t>Calculation Step</t>
        </is>
      </c>
      <c r="B14" s="13" t="inlineStr">
        <is>
          <t>Value</t>
        </is>
      </c>
      <c r="C14" s="13" t="inlineStr">
        <is>
          <t>Units</t>
        </is>
      </c>
      <c r="D14" s="13" t="inlineStr">
        <is>
          <t>Notes</t>
        </is>
      </c>
      <c r="E14" s="13" t="inlineStr"/>
    </row>
    <row r="15" ht="18" customHeight="1">
      <c r="A15" s="14" t="inlineStr">
        <is>
          <t>Required flow</t>
        </is>
      </c>
      <c r="B15" s="5" t="inlineStr"/>
      <c r="C15" s="15" t="inlineStr">
        <is>
          <t>L/min</t>
        </is>
      </c>
      <c r="D15" s="18" t="inlineStr">
        <is>
          <t>Link from S4 row 7 or enter directly</t>
        </is>
      </c>
    </row>
    <row r="16" ht="18" customHeight="1">
      <c r="A16" s="14" t="inlineStr">
        <is>
          <t>Operating pressure</t>
        </is>
      </c>
      <c r="B16" s="5" t="inlineStr"/>
      <c r="C16" s="15" t="inlineStr">
        <is>
          <t>kPa</t>
        </is>
      </c>
    </row>
    <row r="17" ht="18" customHeight="1">
      <c r="A17" s="14" t="inlineStr">
        <is>
          <t>Assumed pump efficiency (decimal)</t>
        </is>
      </c>
      <c r="B17" s="19" t="n">
        <v>0.85</v>
      </c>
      <c r="C17" s="15" t="inlineStr">
        <is>
          <t>0.80–0.93 typical</t>
        </is>
      </c>
    </row>
    <row r="18" ht="20" customHeight="1">
      <c r="A18" s="20" t="inlineStr">
        <is>
          <t>CALCULATED PUMP SHAFT POWER</t>
        </is>
      </c>
      <c r="B18" s="21">
        <f>IF(AND(ISNUMBER(B15),ISNUMBER(B16),ISNUMBER(B17)),(B15*B16)/(60000*B17),"— enter inputs")</f>
        <v/>
      </c>
      <c r="C18" s="20" t="inlineStr">
        <is>
          <t>kW</t>
        </is>
      </c>
    </row>
    <row r="19" ht="18" customHeight="1">
      <c r="A19" s="14" t="inlineStr">
        <is>
          <t>Service factor</t>
        </is>
      </c>
      <c r="B19" s="19" t="n">
        <v>1.25</v>
      </c>
      <c r="C19" s="15" t="inlineStr">
        <is>
          <t>Recommended: 1.25</t>
        </is>
      </c>
    </row>
    <row r="20" ht="20" customHeight="1">
      <c r="A20" s="20" t="inlineStr">
        <is>
          <t>MINIMUM PTO OUTPUT POWER REQUIRED</t>
        </is>
      </c>
      <c r="B20" s="21">
        <f>IF(ISNUMBER(B18),B18*B19,"— enter inputs")</f>
        <v/>
      </c>
      <c r="C20" s="20" t="inlineStr">
        <is>
          <t>kW</t>
        </is>
      </c>
      <c r="D20" s="22" t="inlineStr">
        <is>
          <t>PTO must be capable of delivering at least this power continuously.</t>
        </is>
      </c>
    </row>
    <row r="22" ht="18" customHeight="1">
      <c r="A22" s="16" t="inlineStr">
        <is>
          <t>4.3  NPSH Check — Suction Capability (critical for volatile fuels)</t>
        </is>
      </c>
      <c r="B22" s="10" t="n"/>
      <c r="C22" s="10" t="n"/>
      <c r="D22" s="10" t="n"/>
      <c r="E22" s="11" t="n"/>
    </row>
    <row r="23" ht="30" customHeight="1">
      <c r="A23" s="12" t="inlineStr">
        <is>
          <t>NPSHA = [(Patm − Pvap) ÷ (ρ × g)] + Static head − Suction losses    NPSHA must exceed pump NPSHR by ≥ 0.5 m.  g = 9.81 m/s²</t>
        </is>
      </c>
    </row>
    <row r="24" ht="28" customHeight="1">
      <c r="A24" s="13" t="inlineStr">
        <is>
          <t>Parameter</t>
        </is>
      </c>
      <c r="B24" s="13" t="inlineStr">
        <is>
          <t>Value</t>
        </is>
      </c>
      <c r="C24" s="13" t="inlineStr">
        <is>
          <t>Units</t>
        </is>
      </c>
      <c r="D24" s="13" t="inlineStr">
        <is>
          <t>Notes</t>
        </is>
      </c>
      <c r="E24" s="13" t="inlineStr"/>
    </row>
    <row r="25" ht="18" customHeight="1">
      <c r="A25" s="14" t="inlineStr">
        <is>
          <t>Atmospheric pressure</t>
        </is>
      </c>
      <c r="B25" s="23" t="n">
        <v>101.3</v>
      </c>
      <c r="C25" s="15" t="inlineStr">
        <is>
          <t>kPa abs</t>
        </is>
      </c>
      <c r="D25" s="15" t="inlineStr">
        <is>
          <t>Standard: 101.3 kPa</t>
        </is>
      </c>
    </row>
    <row r="26" ht="20" customHeight="1">
      <c r="A26" s="14" t="inlineStr">
        <is>
          <t>Fluid vapour pressure at max operating temp</t>
        </is>
      </c>
      <c r="B26" s="5" t="inlineStr"/>
      <c r="C26" s="15" t="inlineStr">
        <is>
          <t>kPa abs</t>
        </is>
      </c>
      <c r="D26" s="15" t="inlineStr">
        <is>
          <t>e.g. petrol ~55 kPa @ 38°C; LPG ~800 kPa @ 20°C</t>
        </is>
      </c>
    </row>
    <row r="27" ht="18" customHeight="1">
      <c r="A27" s="14" t="inlineStr">
        <is>
          <t>Fluid density</t>
        </is>
      </c>
      <c r="B27" s="5" t="inlineStr"/>
      <c r="C27" s="15" t="inlineStr">
        <is>
          <t>kg/m³</t>
        </is>
      </c>
      <c r="D27" s="15" t="inlineStr">
        <is>
          <t>e.g. diesel ~830, petrol ~720, LPG ~500</t>
        </is>
      </c>
    </row>
    <row r="28" ht="20" customHeight="1">
      <c r="A28" s="14" t="inlineStr">
        <is>
          <t>Static suction head (+ if flooded, − if lift)</t>
        </is>
      </c>
      <c r="B28" s="5" t="inlineStr"/>
      <c r="C28" s="15" t="inlineStr">
        <is>
          <t>m</t>
        </is>
      </c>
      <c r="D28" s="15" t="inlineStr">
        <is>
          <t>Positive = pump below fluid surface (flooded suction)</t>
        </is>
      </c>
    </row>
    <row r="29" ht="20" customHeight="1">
      <c r="A29" s="14" t="inlineStr">
        <is>
          <t>Estimated suction line losses</t>
        </is>
      </c>
      <c r="B29" s="5" t="inlineStr"/>
      <c r="C29" s="15" t="inlineStr">
        <is>
          <t>m</t>
        </is>
      </c>
      <c r="D29" s="15" t="inlineStr">
        <is>
          <t>Include bends, strainer, fittings — typical 0.3–1.0 m</t>
        </is>
      </c>
    </row>
    <row r="30" ht="20" customHeight="1">
      <c r="A30" s="20" t="inlineStr">
        <is>
          <t>CALCULATED NPSHA</t>
        </is>
      </c>
      <c r="B30" s="21">
        <f>IF(AND(ISNUMBER(B26),ISNUMBER(B27),ISNUMBER(B28),ISNUMBER(B29)),((B25-B26)*1000/(B27*9.81))+B28-B29,"— enter inputs")</f>
        <v/>
      </c>
      <c r="C30" s="20" t="inlineStr">
        <is>
          <t>m</t>
        </is>
      </c>
    </row>
    <row r="31" ht="18" customHeight="1">
      <c r="A31" s="14" t="inlineStr">
        <is>
          <t>Pump manufacturer NPSHR</t>
        </is>
      </c>
      <c r="B31" s="5" t="inlineStr"/>
      <c r="C31" s="15" t="inlineStr">
        <is>
          <t>m</t>
        </is>
      </c>
      <c r="D31" s="15" t="inlineStr">
        <is>
          <t>From pump data sheet — at operating flow rate</t>
        </is>
      </c>
    </row>
    <row r="32" ht="20" customHeight="1">
      <c r="A32" s="20" t="inlineStr">
        <is>
          <t>NPSH MARGIN (NPSHA − NPSHR)</t>
        </is>
      </c>
      <c r="B32" s="21">
        <f>IF(AND(ISNUMBER(B30),ISNUMBER(B31)),B30-B31,"— enter inputs")</f>
        <v/>
      </c>
      <c r="C32" s="20" t="inlineStr">
        <is>
          <t>m</t>
        </is>
      </c>
    </row>
    <row r="33" ht="24" customHeight="1">
      <c r="A33" s="24" t="inlineStr">
        <is>
          <t>NPSH CHECK RESULT</t>
        </is>
      </c>
      <c r="B33" s="25">
        <f>IF(ISNUMBER(B32),IF(B32&gt;=0.5,"✓ PASSED","✗ FAILED — redesign suction"),"— enter inputs")</f>
        <v/>
      </c>
      <c r="D33" s="26" t="inlineStr">
        <is>
          <t>Margin must be ≥ 0.5 m. If failed: reposition pump, enlarge suction line, or use flooded suction.</t>
        </is>
      </c>
    </row>
  </sheetData>
  <mergeCells count="7">
    <mergeCell ref="A12:E12"/>
    <mergeCell ref="A4:E4"/>
    <mergeCell ref="A2:E2"/>
    <mergeCell ref="A1:E1"/>
    <mergeCell ref="A23:E23"/>
    <mergeCell ref="A13:E1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30" customWidth="1" min="4" max="4"/>
  </cols>
  <sheetData>
    <row r="1" ht="22" customHeight="1">
      <c r="A1" s="9" t="inlineStr">
        <is>
          <t>SECTION 5 — PTO Selection</t>
        </is>
      </c>
      <c r="B1" s="10" t="n"/>
      <c r="C1" s="10" t="n"/>
      <c r="D1" s="11" t="n"/>
    </row>
    <row r="2" ht="30" customHeight="1">
      <c r="A2" s="12" t="inlineStr">
        <is>
          <t>Match the PTO to the transmission. OEM BBI for the specific transmission must be obtained before ordering. Never exceed the transmission PTO torque limit.</t>
        </is>
      </c>
    </row>
    <row r="4" ht="18" customHeight="1">
      <c r="A4" s="16" t="inlineStr">
        <is>
          <t>5.1  Transmission PTO Requirements</t>
        </is>
      </c>
      <c r="B4" s="10" t="n"/>
      <c r="C4" s="10" t="n"/>
      <c r="D4" s="11" t="n"/>
    </row>
    <row r="5" ht="28" customHeight="1">
      <c r="A5" s="13" t="inlineStr">
        <is>
          <t>Field</t>
        </is>
      </c>
      <c r="B5" s="13" t="inlineStr">
        <is>
          <t>Entry</t>
        </is>
      </c>
      <c r="C5" s="13" t="inlineStr">
        <is>
          <t>Units</t>
        </is>
      </c>
      <c r="D5" s="13" t="inlineStr">
        <is>
          <t>Source / Notes</t>
        </is>
      </c>
    </row>
    <row r="6" ht="20" customHeight="1">
      <c r="A6" s="14" t="inlineStr">
        <is>
          <t>OEM approved PTO list for this transmission</t>
        </is>
      </c>
      <c r="B6" s="5" t="inlineStr"/>
      <c r="C6" s="15" t="inlineStr"/>
      <c r="D6" s="15" t="inlineStr">
        <is>
          <t>From BBI — list approved part numbers</t>
        </is>
      </c>
    </row>
    <row r="7" ht="20" customHeight="1">
      <c r="A7" s="14" t="inlineStr">
        <is>
          <t>PTO mounting position selected</t>
        </is>
      </c>
      <c r="B7" s="5" t="inlineStr"/>
      <c r="C7" s="15" t="inlineStr"/>
      <c r="D7" s="15" t="inlineStr">
        <is>
          <t>Top / Side LH / Side RH / Rear</t>
        </is>
      </c>
    </row>
    <row r="8" ht="20" customHeight="1">
      <c r="A8" s="14" t="inlineStr">
        <is>
          <t>PTO engagement method</t>
        </is>
      </c>
      <c r="B8" s="5" t="inlineStr"/>
      <c r="C8" s="15" t="inlineStr"/>
      <c r="D8" s="15" t="inlineStr">
        <is>
          <t>Mechanical / Pneumatic / Electric / Hydraulic</t>
        </is>
      </c>
    </row>
    <row r="9" ht="20" customHeight="1">
      <c r="A9" s="14" t="inlineStr">
        <is>
          <t>PTO engagement — vehicle must be</t>
        </is>
      </c>
      <c r="B9" s="5" t="inlineStr"/>
      <c r="C9" s="15" t="inlineStr"/>
      <c r="D9" s="15" t="inlineStr">
        <is>
          <t>Stationary only / Moving permitted</t>
        </is>
      </c>
    </row>
    <row r="10" ht="20" customHeight="1">
      <c r="A10" s="14" t="inlineStr">
        <is>
          <t>Transmission max PTO torque at this port</t>
        </is>
      </c>
      <c r="B10" s="5" t="inlineStr"/>
      <c r="C10" s="15" t="inlineStr">
        <is>
          <t>Nm</t>
        </is>
      </c>
      <c r="D10" s="15" t="inlineStr">
        <is>
          <t>From BBI — MUST NOT BE EXCEEDED</t>
        </is>
      </c>
    </row>
    <row r="11" ht="20" customHeight="1">
      <c r="A11" s="14" t="inlineStr">
        <is>
          <t>PTO output rotation direction</t>
        </is>
      </c>
      <c r="B11" s="5" t="inlineStr"/>
      <c r="C11" s="15" t="inlineStr"/>
      <c r="D11" s="15" t="inlineStr">
        <is>
          <t>CW / CCW viewed from PTO output shaft</t>
        </is>
      </c>
    </row>
    <row r="13" ht="30" customHeight="1">
      <c r="A13" s="12" t="inlineStr">
        <is>
          <t>IMPORTANT — Automatic and AMT transmissions (Allison, ZF Traxon, Eaton UltraShift): PTO engagement windows and torque limits vary by software version. Always confirm with OEM or dealer before specifying.</t>
        </is>
      </c>
    </row>
    <row r="15" ht="18" customHeight="1">
      <c r="A15" s="16" t="inlineStr">
        <is>
          <t>5.2  Required PTO Output Speed</t>
        </is>
      </c>
      <c r="B15" s="10" t="n"/>
      <c r="C15" s="10" t="n"/>
      <c r="D15" s="11" t="n"/>
    </row>
    <row r="16" ht="30" customHeight="1">
      <c r="A16" s="12" t="inlineStr">
        <is>
          <t>PTO output speed (rpm) = Engine RPM × PTO ratio.  Required PTO ratio = Target pump speed ÷ Engine RPM.  Common ratios: 0.55, 0.68, 0.80, 1.00, 1.05, 1.25</t>
        </is>
      </c>
    </row>
    <row r="17" ht="28" customHeight="1">
      <c r="A17" s="13" t="inlineStr">
        <is>
          <t>Parameter</t>
        </is>
      </c>
      <c r="B17" s="13" t="inlineStr">
        <is>
          <t>Value</t>
        </is>
      </c>
      <c r="C17" s="13" t="inlineStr">
        <is>
          <t>Units</t>
        </is>
      </c>
      <c r="D17" s="13" t="inlineStr">
        <is>
          <t>Notes</t>
        </is>
      </c>
    </row>
    <row r="18" ht="18" customHeight="1">
      <c r="A18" s="14" t="inlineStr">
        <is>
          <t>Target pump operating speed</t>
        </is>
      </c>
      <c r="B18" s="5" t="inlineStr"/>
      <c r="C18" s="15" t="inlineStr">
        <is>
          <t>rpm</t>
        </is>
      </c>
      <c r="D18" s="15" t="inlineStr">
        <is>
          <t>From pump data sheet — typical operating speed</t>
        </is>
      </c>
    </row>
    <row r="19" ht="18" customHeight="1">
      <c r="A19" s="14" t="inlineStr">
        <is>
          <t>Engine RPM at target pump speed</t>
        </is>
      </c>
      <c r="B19" s="5" t="inlineStr"/>
      <c r="C19" s="15" t="inlineStr">
        <is>
          <t>rpm</t>
        </is>
      </c>
      <c r="D19" s="15" t="inlineStr">
        <is>
          <t>Typically engine cruise / governed speed</t>
        </is>
      </c>
    </row>
    <row r="20" ht="20" customHeight="1">
      <c r="A20" s="20" t="inlineStr">
        <is>
          <t>Required PTO ratio (calculated)</t>
        </is>
      </c>
      <c r="B20" s="27">
        <f>IF(AND(ISNUMBER(B18),ISNUMBER(B19)),B18/B19,"— enter inputs")</f>
        <v/>
      </c>
      <c r="C20" s="28" t="inlineStr">
        <is>
          <t>:1</t>
        </is>
      </c>
      <c r="D20" s="28" t="inlineStr">
        <is>
          <t>Select nearest available ratio from Appendix A</t>
        </is>
      </c>
    </row>
    <row r="21" ht="18" customHeight="1">
      <c r="A21" s="14" t="inlineStr">
        <is>
          <t>Selected PTO ratio (nearest available)</t>
        </is>
      </c>
      <c r="B21" s="5" t="inlineStr"/>
      <c r="C21" s="15" t="inlineStr">
        <is>
          <t>:1</t>
        </is>
      </c>
      <c r="D21" s="15" t="inlineStr">
        <is>
          <t>From OEM PTO catalogue — see Appendix A</t>
        </is>
      </c>
    </row>
    <row r="22" ht="20" customHeight="1">
      <c r="A22" s="20" t="inlineStr">
        <is>
          <t>Actual PTO output speed at operating engine RPM</t>
        </is>
      </c>
      <c r="B22" s="29">
        <f>IF(AND(ISNUMBER(B19),ISNUMBER(B21)),B19*B21,"— enter inputs")</f>
        <v/>
      </c>
      <c r="C22" s="28" t="inlineStr">
        <is>
          <t>rpm</t>
        </is>
      </c>
    </row>
    <row r="23" ht="18" customHeight="1">
      <c r="A23" s="14" t="inlineStr">
        <is>
          <t>Engine idle speed</t>
        </is>
      </c>
      <c r="B23" s="5" t="inlineStr"/>
      <c r="C23" s="15" t="inlineStr">
        <is>
          <t>rpm</t>
        </is>
      </c>
    </row>
    <row r="24" ht="20" customHeight="1">
      <c r="A24" s="20" t="inlineStr">
        <is>
          <t>PTO output speed at engine idle</t>
        </is>
      </c>
      <c r="B24" s="29">
        <f>IF(AND(ISNUMBER(B23),ISNUMBER(B21)),B23*B21,"— enter inputs")</f>
        <v/>
      </c>
      <c r="C24" s="28" t="inlineStr">
        <is>
          <t>rpm</t>
        </is>
      </c>
      <c r="D24" s="28" t="inlineStr">
        <is>
          <t>Must be ≥ pump minimum speed</t>
        </is>
      </c>
    </row>
    <row r="25" ht="18" customHeight="1">
      <c r="A25" s="14" t="inlineStr">
        <is>
          <t>Engine max / governed speed</t>
        </is>
      </c>
      <c r="B25" s="5" t="inlineStr"/>
      <c r="C25" s="15" t="inlineStr">
        <is>
          <t>rpm</t>
        </is>
      </c>
    </row>
    <row r="26" ht="20" customHeight="1">
      <c r="A26" s="20" t="inlineStr">
        <is>
          <t>PTO output speed at engine max speed</t>
        </is>
      </c>
      <c r="B26" s="29">
        <f>IF(AND(ISNUMBER(B25),ISNUMBER(B21)),B25*B21,"— enter inputs")</f>
        <v/>
      </c>
      <c r="C26" s="28" t="inlineStr">
        <is>
          <t>rpm</t>
        </is>
      </c>
      <c r="D26" s="26" t="inlineStr">
        <is>
          <t>Must NOT exceed pump max speed</t>
        </is>
      </c>
    </row>
    <row r="28" ht="18" customHeight="1">
      <c r="A28" s="16" t="inlineStr">
        <is>
          <t>5.3  PTO Torque Check</t>
        </is>
      </c>
      <c r="B28" s="10" t="n"/>
      <c r="C28" s="10" t="n"/>
      <c r="D28" s="11" t="n"/>
    </row>
    <row r="29" ht="30" customHeight="1">
      <c r="A29" s="12" t="inlineStr">
        <is>
          <t>PTO output torque (Nm) = Pump shaft power (kW) × 9549 ÷ PTO output speed (rpm).  Required × 1.25 service factor must be LESS THAN transmission PTO torque limit.</t>
        </is>
      </c>
    </row>
    <row r="30" ht="28" customHeight="1">
      <c r="A30" s="13" t="inlineStr">
        <is>
          <t>Parameter</t>
        </is>
      </c>
      <c r="B30" s="13" t="inlineStr">
        <is>
          <t>Value</t>
        </is>
      </c>
      <c r="C30" s="13" t="inlineStr">
        <is>
          <t>Units</t>
        </is>
      </c>
      <c r="D30" s="13" t="inlineStr">
        <is>
          <t>Notes</t>
        </is>
      </c>
    </row>
    <row r="31" ht="18" customHeight="1">
      <c r="A31" s="14" t="inlineStr">
        <is>
          <t>Pump shaft power (from S4)</t>
        </is>
      </c>
      <c r="B31" s="5" t="inlineStr"/>
      <c r="C31" s="15" t="inlineStr">
        <is>
          <t>kW</t>
        </is>
      </c>
      <c r="D31" s="15" t="inlineStr">
        <is>
          <t>Copy from S4 calculated pump shaft power</t>
        </is>
      </c>
    </row>
    <row r="32" ht="18" customHeight="1">
      <c r="A32" s="14" t="inlineStr">
        <is>
          <t>PTO output speed (operating)</t>
        </is>
      </c>
      <c r="B32" s="30">
        <f>IF(ISNUMBER(B22),B22,"— enter above")</f>
        <v/>
      </c>
      <c r="C32" s="15" t="inlineStr">
        <is>
          <t>rpm</t>
        </is>
      </c>
      <c r="D32" s="15" t="inlineStr">
        <is>
          <t>Auto-linked from 5.2</t>
        </is>
      </c>
    </row>
    <row r="33" ht="20" customHeight="1">
      <c r="A33" s="20" t="inlineStr">
        <is>
          <t>CALCULATED PTO OUTPUT TORQUE</t>
        </is>
      </c>
      <c r="B33" s="31">
        <f>IF(AND(ISNUMBER(B31),ISNUMBER(B32)),B31*9549/B32,"— enter inputs")</f>
        <v/>
      </c>
      <c r="C33" s="20" t="inlineStr">
        <is>
          <t>Nm</t>
        </is>
      </c>
    </row>
    <row r="34" ht="18" customHeight="1">
      <c r="A34" s="14" t="inlineStr">
        <is>
          <t>Service factor</t>
        </is>
      </c>
      <c r="B34" s="19" t="n">
        <v>1.25</v>
      </c>
    </row>
    <row r="35" ht="20" customHeight="1">
      <c r="A35" s="20" t="inlineStr">
        <is>
          <t>TORQUE WITH SERVICE FACTOR</t>
        </is>
      </c>
      <c r="B35" s="31">
        <f>IF(ISNUMBER(B33),B33*B34,"— enter inputs")</f>
        <v/>
      </c>
      <c r="C35" s="20" t="inlineStr">
        <is>
          <t>Nm</t>
        </is>
      </c>
    </row>
    <row r="36" ht="18" customHeight="1">
      <c r="A36" s="14" t="inlineStr">
        <is>
          <t>Transmission PTO torque limit (from BBI)</t>
        </is>
      </c>
      <c r="B36" s="5" t="inlineStr"/>
      <c r="C36" s="15" t="inlineStr">
        <is>
          <t>Nm</t>
        </is>
      </c>
      <c r="D36" s="26" t="inlineStr">
        <is>
          <t>From BBI — do not exceed this value</t>
        </is>
      </c>
    </row>
    <row r="37" ht="20" customHeight="1">
      <c r="A37" s="20" t="inlineStr">
        <is>
          <t>TORQUE MARGIN (Limit − Required with SF)</t>
        </is>
      </c>
      <c r="B37" s="31">
        <f>IF(AND(ISNUMBER(B36),ISNUMBER(B35)),B36-B35,"— enter inputs")</f>
        <v/>
      </c>
      <c r="C37" s="28" t="inlineStr">
        <is>
          <t>Nm</t>
        </is>
      </c>
      <c r="D37" s="28" t="inlineStr">
        <is>
          <t>Must be positive (&gt; 0)</t>
        </is>
      </c>
    </row>
    <row r="38" ht="22" customHeight="1">
      <c r="A38" s="24" t="inlineStr">
        <is>
          <t>TORQUE CHECK RESULT</t>
        </is>
      </c>
      <c r="B38" s="25">
        <f>IF(ISNUMBER(B37),IF(B37&gt;0,"✓ PASSED","✗ FAILED — review power or PTO"),"— enter inputs")</f>
        <v/>
      </c>
    </row>
    <row r="40" ht="18" customHeight="1">
      <c r="A40" s="16" t="inlineStr">
        <is>
          <t>5.4  PTO Selection Record</t>
        </is>
      </c>
      <c r="B40" s="10" t="n"/>
      <c r="C40" s="10" t="n"/>
      <c r="D40" s="11" t="n"/>
    </row>
    <row r="41" ht="28" customHeight="1">
      <c r="A41" s="13" t="inlineStr">
        <is>
          <t>Field</t>
        </is>
      </c>
      <c r="B41" s="13" t="inlineStr">
        <is>
          <t>Entry</t>
        </is>
      </c>
      <c r="C41" s="13" t="inlineStr"/>
      <c r="D41" s="13" t="inlineStr"/>
    </row>
    <row r="42" ht="18" customHeight="1">
      <c r="A42" s="14" t="inlineStr">
        <is>
          <t>Selected PTO make</t>
        </is>
      </c>
      <c r="B42" s="5" t="inlineStr"/>
    </row>
    <row r="43" ht="18" customHeight="1">
      <c r="A43" s="14" t="inlineStr">
        <is>
          <t>Selected PTO model / part number</t>
        </is>
      </c>
      <c r="B43" s="5" t="inlineStr"/>
    </row>
    <row r="44" ht="18" customHeight="1">
      <c r="A44" s="14" t="inlineStr">
        <is>
          <t>PTO ratio (:1)</t>
        </is>
      </c>
      <c r="B44" s="5" t="inlineStr"/>
    </row>
    <row r="45" ht="18" customHeight="1">
      <c r="A45" s="14" t="inlineStr">
        <is>
          <t>PTO output torque rating (Nm)</t>
        </is>
      </c>
      <c r="B45" s="5" t="inlineStr"/>
    </row>
    <row r="46" ht="18" customHeight="1">
      <c r="A46" s="14" t="inlineStr">
        <is>
          <t>PTO output speed at operating RPM (rpm)</t>
        </is>
      </c>
      <c r="B46" s="5" t="inlineStr"/>
    </row>
    <row r="47" ht="18" customHeight="1">
      <c r="A47" s="14" t="inlineStr">
        <is>
          <t>PTO mounting position</t>
        </is>
      </c>
      <c r="B47" s="5" t="inlineStr"/>
    </row>
    <row r="48" ht="18" customHeight="1">
      <c r="A48" s="14" t="inlineStr">
        <is>
          <t>Engagement method</t>
        </is>
      </c>
      <c r="B48" s="5" t="inlineStr"/>
    </row>
    <row r="49" ht="18" customHeight="1">
      <c r="A49" s="14" t="inlineStr">
        <is>
          <t>OEM approval confirmed — BBI reference:</t>
        </is>
      </c>
      <c r="B49" s="5" t="inlineStr"/>
    </row>
    <row r="50" ht="18" customHeight="1">
      <c r="A50" s="14" t="inlineStr">
        <is>
          <t>Transmission warranty implications checked</t>
        </is>
      </c>
      <c r="B50" s="5" t="inlineStr"/>
    </row>
  </sheetData>
  <mergeCells count="18">
    <mergeCell ref="A1:D1"/>
    <mergeCell ref="A40:D40"/>
    <mergeCell ref="B42:D42"/>
    <mergeCell ref="B43:D43"/>
    <mergeCell ref="B45:D45"/>
    <mergeCell ref="B46:D46"/>
    <mergeCell ref="B48:D48"/>
    <mergeCell ref="A4:D4"/>
    <mergeCell ref="B49:D49"/>
    <mergeCell ref="B50:D50"/>
    <mergeCell ref="A15:D15"/>
    <mergeCell ref="A29:D29"/>
    <mergeCell ref="B44:D44"/>
    <mergeCell ref="A2:D2"/>
    <mergeCell ref="A16:D16"/>
    <mergeCell ref="A28:D28"/>
    <mergeCell ref="B47:D47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30" customWidth="1" min="4" max="4"/>
  </cols>
  <sheetData>
    <row r="1" ht="22" customHeight="1">
      <c r="A1" s="9" t="inlineStr">
        <is>
          <t>SECTION 6 — PTO Pump Selection</t>
        </is>
      </c>
      <c r="B1" s="10" t="n"/>
      <c r="C1" s="10" t="n"/>
      <c r="D1" s="11" t="n"/>
    </row>
    <row r="2" ht="30" customHeight="1">
      <c r="A2" s="12" t="inlineStr">
        <is>
          <t>Select the pump that meets performance requirements and suits the PTO specified in Section 5. Complete 6.1 pump type selection first — this determines which efficiency values to use in 6.2.</t>
        </is>
      </c>
    </row>
    <row r="4" ht="18" customHeight="1">
      <c r="A4" s="16" t="inlineStr">
        <is>
          <t>6.1  Pump Type Selection Guide</t>
        </is>
      </c>
      <c r="B4" s="10" t="n"/>
      <c r="C4" s="10" t="n"/>
      <c r="D4" s="11" t="n"/>
    </row>
    <row r="5" ht="28" customHeight="1">
      <c r="A5" s="13" t="inlineStr">
        <is>
          <t>Pump Type</t>
        </is>
      </c>
      <c r="B5" s="13" t="inlineStr">
        <is>
          <t>Best For</t>
        </is>
      </c>
      <c r="C5" s="13" t="inlineStr">
        <is>
          <t>Not Suitable For</t>
        </is>
      </c>
      <c r="D5" s="13" t="inlineStr">
        <is>
          <t>Max Pressure</t>
        </is>
      </c>
    </row>
    <row r="6" ht="28" customHeight="1">
      <c r="A6" s="32" t="inlineStr">
        <is>
          <t>Gear pump (external)</t>
        </is>
      </c>
      <c r="B6" s="33" t="inlineStr">
        <is>
          <t>Clean fuels (diesel, petrol); robust; low cost</t>
        </is>
      </c>
      <c r="C6" s="33" t="inlineStr">
        <is>
          <t>High-viscosity cold fluids; solids</t>
        </is>
      </c>
      <c r="D6" s="34" t="inlineStr">
        <is>
          <t>200–250 bar</t>
        </is>
      </c>
    </row>
    <row r="7" ht="28" customHeight="1">
      <c r="A7" s="32" t="inlineStr">
        <is>
          <t>Gear pump (internal / gerotor)</t>
        </is>
      </c>
      <c r="B7" s="33" t="inlineStr">
        <is>
          <t>Low noise; moderate pressure; self-priming</t>
        </is>
      </c>
      <c r="C7" s="33" t="inlineStr">
        <is>
          <t>Abrasive fluids</t>
        </is>
      </c>
      <c r="D7" s="34" t="inlineStr">
        <is>
          <t>100–200 bar</t>
        </is>
      </c>
    </row>
    <row r="8" ht="28" customHeight="1">
      <c r="A8" s="32" t="inlineStr">
        <is>
          <t>Vane pump</t>
        </is>
      </c>
      <c r="B8" s="33" t="inlineStr">
        <is>
          <t>Smooth flow; low pulsation; moderate pressure</t>
        </is>
      </c>
      <c r="C8" s="33" t="inlineStr">
        <is>
          <t>Abrasive or high-viscosity fluids</t>
        </is>
      </c>
      <c r="D8" s="34" t="inlineStr">
        <is>
          <t>100–175 bar</t>
        </is>
      </c>
    </row>
    <row r="9" ht="28" customHeight="1">
      <c r="A9" s="32" t="inlineStr">
        <is>
          <t>Piston pump (axial)</t>
        </is>
      </c>
      <c r="B9" s="33" t="inlineStr">
        <is>
          <t>High pressure; variable displacement; efficient</t>
        </is>
      </c>
      <c r="C9" s="33" t="inlineStr">
        <is>
          <t>High cost; low-viscosity fuels at high speed</t>
        </is>
      </c>
      <c r="D9" s="34" t="inlineStr">
        <is>
          <t>350–450 bar</t>
        </is>
      </c>
    </row>
    <row r="10" ht="28" customHeight="1">
      <c r="A10" s="32" t="inlineStr">
        <is>
          <t>Liquid ring / regenerative</t>
        </is>
      </c>
      <c r="B10" s="33" t="inlineStr">
        <is>
          <t>LPG; volatile liquids; vapour-tolerant</t>
        </is>
      </c>
      <c r="C10" s="33" t="inlineStr">
        <is>
          <t>High pressure applications</t>
        </is>
      </c>
      <c r="D10" s="34" t="inlineStr">
        <is>
          <t>15–20 bar</t>
        </is>
      </c>
    </row>
    <row r="11" ht="28" customHeight="1">
      <c r="A11" s="32" t="inlineStr">
        <is>
          <t>Centrifugal</t>
        </is>
      </c>
      <c r="B11" s="33" t="inlineStr">
        <is>
          <t>High flow, low pressure; primed suction OK</t>
        </is>
      </c>
      <c r="C11" s="33" t="inlineStr">
        <is>
          <t>Self-prime required; high differential pressure</t>
        </is>
      </c>
      <c r="D11" s="34" t="inlineStr">
        <is>
          <t>5–10 bar</t>
        </is>
      </c>
    </row>
    <row r="13" ht="22" customHeight="1">
      <c r="A13" s="35" t="inlineStr">
        <is>
          <t>SELECTED PUMP TYPE</t>
        </is>
      </c>
      <c r="B13" s="5" t="inlineStr"/>
      <c r="D13" s="15" t="inlineStr">
        <is>
          <t>Record reason in notes</t>
        </is>
      </c>
    </row>
    <row r="15" ht="18" customHeight="1">
      <c r="A15" s="16" t="inlineStr">
        <is>
          <t>6.2  Pump Sizing — Displacement Calculation</t>
        </is>
      </c>
      <c r="B15" s="10" t="n"/>
      <c r="C15" s="10" t="n"/>
      <c r="D15" s="11" t="n"/>
    </row>
    <row r="16" ht="30" customHeight="1">
      <c r="A16" s="12" t="inlineStr">
        <is>
          <t>Displacement (cc/rev) = [Flow (L/min) × 1000] ÷ [PTO speed (rpm) × Volumetric efficiency]   Gear/Vane: vol eff 0.88–0.94  |  Piston: 0.92–0.97</t>
        </is>
      </c>
    </row>
    <row r="17" ht="28" customHeight="1">
      <c r="A17" s="13" t="inlineStr">
        <is>
          <t>Calculation Step</t>
        </is>
      </c>
      <c r="B17" s="13" t="inlineStr">
        <is>
          <t>Value</t>
        </is>
      </c>
      <c r="C17" s="13" t="inlineStr">
        <is>
          <t>Units</t>
        </is>
      </c>
      <c r="D17" s="13" t="inlineStr">
        <is>
          <t>Notes</t>
        </is>
      </c>
    </row>
    <row r="18" ht="18" customHeight="1">
      <c r="A18" s="14" t="inlineStr">
        <is>
          <t>Required flow at operating condition</t>
        </is>
      </c>
      <c r="B18" s="5" t="inlineStr"/>
      <c r="C18" s="15" t="inlineStr">
        <is>
          <t>L/min</t>
        </is>
      </c>
      <c r="D18" s="15" t="inlineStr">
        <is>
          <t>From S4 maximum delivery flow rate</t>
        </is>
      </c>
    </row>
    <row r="19" ht="18" customHeight="1">
      <c r="A19" s="14" t="inlineStr">
        <is>
          <t>PTO output speed (from S5)</t>
        </is>
      </c>
      <c r="B19" s="5" t="inlineStr"/>
      <c r="C19" s="15" t="inlineStr">
        <is>
          <t>rpm</t>
        </is>
      </c>
      <c r="D19" s="15" t="inlineStr">
        <is>
          <t>Copy from S5 actual PTO output speed</t>
        </is>
      </c>
    </row>
    <row r="20" ht="18" customHeight="1">
      <c r="A20" s="14" t="inlineStr">
        <is>
          <t>Assumed volumetric efficiency</t>
        </is>
      </c>
      <c r="B20" s="19" t="n">
        <v>0.9</v>
      </c>
      <c r="C20" s="15" t="inlineStr">
        <is>
          <t>decimal</t>
        </is>
      </c>
      <c r="D20" s="15" t="inlineStr">
        <is>
          <t>Gear/vane: 0.88–0.94  |  Piston: 0.92–0.97</t>
        </is>
      </c>
    </row>
    <row r="21" ht="20" customHeight="1">
      <c r="A21" s="20" t="inlineStr">
        <is>
          <t>CALCULATED DISPLACEMENT</t>
        </is>
      </c>
      <c r="B21" s="31">
        <f>IF(AND(ISNUMBER(B18),ISNUMBER(B19),ISNUMBER(B20)),(B18*1000)/(B19*B20),"— enter inputs")</f>
        <v/>
      </c>
      <c r="C21" s="20" t="inlineStr">
        <is>
          <t>cc/rev</t>
        </is>
      </c>
      <c r="D21" s="28" t="inlineStr">
        <is>
          <t>Select nearest larger catalogue size</t>
        </is>
      </c>
    </row>
    <row r="22" ht="18" customHeight="1">
      <c r="A22" s="14" t="inlineStr">
        <is>
          <t>Selected pump displacement (catalogue size)</t>
        </is>
      </c>
      <c r="B22" s="5" t="inlineStr"/>
      <c r="C22" s="15" t="inlineStr">
        <is>
          <t>cc/rev</t>
        </is>
      </c>
    </row>
    <row r="23" ht="20" customHeight="1">
      <c r="A23" s="20" t="inlineStr">
        <is>
          <t>ACTUAL FLOW at operating speed</t>
        </is>
      </c>
      <c r="B23" s="31">
        <f>IF(AND(ISNUMBER(B22),ISNUMBER(B19),ISNUMBER(B20)),B22*B19*B20/1000,"— enter inputs")</f>
        <v/>
      </c>
      <c r="C23" s="20" t="inlineStr">
        <is>
          <t>L/min</t>
        </is>
      </c>
      <c r="D23" s="28" t="inlineStr">
        <is>
          <t>Must be ≥ required flow from S4</t>
        </is>
      </c>
    </row>
    <row r="24" ht="18" customHeight="1">
      <c r="A24" s="14" t="inlineStr">
        <is>
          <t>Pump max rated speed</t>
        </is>
      </c>
      <c r="B24" s="5" t="inlineStr"/>
      <c r="C24" s="15" t="inlineStr">
        <is>
          <t>rpm</t>
        </is>
      </c>
      <c r="D24" s="15" t="inlineStr">
        <is>
          <t>PTO speed must not exceed this</t>
        </is>
      </c>
    </row>
    <row r="25" ht="18" customHeight="1">
      <c r="A25" s="14" t="inlineStr">
        <is>
          <t>Pump min rated speed</t>
        </is>
      </c>
      <c r="B25" s="5" t="inlineStr"/>
      <c r="C25" s="15" t="inlineStr">
        <is>
          <t>rpm</t>
        </is>
      </c>
      <c r="D25" s="15" t="inlineStr">
        <is>
          <t>PTO idle speed must not be below this</t>
        </is>
      </c>
    </row>
    <row r="26" ht="18" customHeight="1">
      <c r="A26" s="14" t="inlineStr">
        <is>
          <t>Pump max rated pressure</t>
        </is>
      </c>
      <c r="B26" s="5" t="inlineStr"/>
      <c r="C26" s="15" t="inlineStr">
        <is>
          <t>kPa</t>
        </is>
      </c>
      <c r="D26" s="15" t="inlineStr">
        <is>
          <t>Must be ≥ max system pressure from S4</t>
        </is>
      </c>
    </row>
    <row r="28" ht="18" customHeight="1">
      <c r="A28" s="16" t="inlineStr">
        <is>
          <t>6.3  Rotation and Porting</t>
        </is>
      </c>
      <c r="B28" s="10" t="n"/>
      <c r="C28" s="10" t="n"/>
      <c r="D28" s="11" t="n"/>
    </row>
    <row r="29" ht="28" customHeight="1">
      <c r="A29" s="13" t="inlineStr">
        <is>
          <t>Field</t>
        </is>
      </c>
      <c r="B29" s="13" t="inlineStr">
        <is>
          <t>Entry</t>
        </is>
      </c>
      <c r="C29" s="13" t="inlineStr">
        <is>
          <t>Units</t>
        </is>
      </c>
      <c r="D29" s="13" t="inlineStr">
        <is>
          <t>Notes</t>
        </is>
      </c>
    </row>
    <row r="30" ht="20" customHeight="1">
      <c r="A30" s="14" t="inlineStr">
        <is>
          <t>Required pump rotation (CW / CCW from drive end)</t>
        </is>
      </c>
      <c r="B30" s="5" t="inlineStr"/>
      <c r="D30" s="15" t="inlineStr">
        <is>
          <t>Must match PTO output rotation</t>
        </is>
      </c>
    </row>
    <row r="31" ht="20" customHeight="1">
      <c r="A31" s="14" t="inlineStr">
        <is>
          <t>PTO output rotation confirmed</t>
        </is>
      </c>
      <c r="B31" s="5" t="inlineStr"/>
      <c r="D31" s="15" t="inlineStr">
        <is>
          <t>From S5.1</t>
        </is>
      </c>
    </row>
    <row r="32" ht="20" customHeight="1">
      <c r="A32" s="14" t="inlineStr">
        <is>
          <t>Rotation match confirmed (Yes / No)</t>
        </is>
      </c>
      <c r="B32" s="5" t="inlineStr"/>
      <c r="D32" s="15" t="inlineStr">
        <is>
          <t>If No: specify adaptor or alternate pump</t>
        </is>
      </c>
    </row>
    <row r="33" ht="20" customHeight="1">
      <c r="A33" s="14" t="inlineStr">
        <is>
          <t>Pump inlet port size and type</t>
        </is>
      </c>
      <c r="B33" s="5" t="inlineStr"/>
      <c r="D33" s="15" t="inlineStr">
        <is>
          <t>e.g. 2" BSP female</t>
        </is>
      </c>
    </row>
    <row r="34" ht="20" customHeight="1">
      <c r="A34" s="14" t="inlineStr">
        <is>
          <t>Pump outlet port size and type</t>
        </is>
      </c>
      <c r="B34" s="5" t="inlineStr"/>
      <c r="D34" s="15" t="inlineStr">
        <is>
          <t>e.g. 1-1/4" BSP female</t>
        </is>
      </c>
    </row>
    <row r="35" ht="20" customHeight="1">
      <c r="A35" s="14" t="inlineStr">
        <is>
          <t>Drive shaft / flange type</t>
        </is>
      </c>
      <c r="B35" s="5" t="inlineStr"/>
      <c r="D35" s="15" t="inlineStr">
        <is>
          <t>SAE A 2-bolt / SAE B 2-bolt / SAE B 4-bolt / SAE C / Other</t>
        </is>
      </c>
    </row>
    <row r="36" ht="20" customHeight="1">
      <c r="A36" s="14" t="inlineStr">
        <is>
          <t>Coupling / adaptor required (Yes / No)</t>
        </is>
      </c>
      <c r="B36" s="5" t="inlineStr"/>
      <c r="D36" s="15" t="inlineStr"/>
    </row>
    <row r="38" ht="18" customHeight="1">
      <c r="A38" s="16" t="inlineStr">
        <is>
          <t>6.4  Fluid Compatibility Check</t>
        </is>
      </c>
      <c r="B38" s="10" t="n"/>
      <c r="C38" s="10" t="n"/>
      <c r="D38" s="11" t="n"/>
    </row>
    <row r="39" ht="28" customHeight="1">
      <c r="A39" s="13" t="inlineStr">
        <is>
          <t>Check</t>
        </is>
      </c>
      <c r="B39" s="13" t="inlineStr">
        <is>
          <t>Result (Yes/No)</t>
        </is>
      </c>
      <c r="C39" s="13" t="inlineStr">
        <is>
          <t>Notes</t>
        </is>
      </c>
      <c r="D39" s="13" t="inlineStr"/>
    </row>
    <row r="40" ht="22" customHeight="1">
      <c r="A40" s="14" t="inlineStr">
        <is>
          <t>Pump seals compatible with fuel/product</t>
        </is>
      </c>
      <c r="B40" s="5" t="inlineStr"/>
      <c r="C40" s="15" t="inlineStr">
        <is>
          <t>e.g. Viton seals for aromatic fuels</t>
        </is>
      </c>
    </row>
    <row r="41" ht="22" customHeight="1">
      <c r="A41" s="14" t="inlineStr">
        <is>
          <t>Pump body material compatible with product</t>
        </is>
      </c>
      <c r="B41" s="5" t="inlineStr"/>
      <c r="C41" s="15" t="inlineStr">
        <is>
          <t>e.g. cast iron OK for diesel; check ethanol blends</t>
        </is>
      </c>
    </row>
    <row r="42" ht="22" customHeight="1">
      <c r="A42" s="14" t="inlineStr">
        <is>
          <t>Pump suitable for ADG class of product</t>
        </is>
      </c>
      <c r="B42" s="5" t="inlineStr"/>
      <c r="C42" s="15" t="inlineStr">
        <is>
          <t>Confirm with pump manufacturer</t>
        </is>
      </c>
    </row>
    <row r="43" ht="22" customHeight="1">
      <c r="A43" s="14" t="inlineStr">
        <is>
          <t>ATEX / hazardous area rating required</t>
        </is>
      </c>
      <c r="B43" s="5" t="inlineStr"/>
      <c r="C43" s="15" t="inlineStr">
        <is>
          <t>Check AS/NZS 60079 zone classification for vehicle</t>
        </is>
      </c>
    </row>
    <row r="44" ht="22" customHeight="1">
      <c r="A44" s="14" t="inlineStr">
        <is>
          <t>Fuel authority approval required (metering / trade measurement)</t>
        </is>
      </c>
      <c r="B44" s="5" t="inlineStr"/>
      <c r="C44" s="15" t="inlineStr">
        <is>
          <t>NMI approval if used for sale — NMI M 10</t>
        </is>
      </c>
    </row>
    <row r="46" ht="18" customHeight="1">
      <c r="A46" s="16" t="inlineStr">
        <is>
          <t>6.5  Pump Selection Record</t>
        </is>
      </c>
      <c r="B46" s="10" t="n"/>
      <c r="C46" s="10" t="n"/>
      <c r="D46" s="11" t="n"/>
    </row>
    <row r="47" ht="28" customHeight="1">
      <c r="A47" s="13" t="inlineStr">
        <is>
          <t>Field</t>
        </is>
      </c>
      <c r="B47" s="13" t="inlineStr">
        <is>
          <t>Entry</t>
        </is>
      </c>
      <c r="C47" s="13" t="inlineStr"/>
      <c r="D47" s="13" t="inlineStr"/>
    </row>
    <row r="48" ht="18" customHeight="1">
      <c r="A48" s="14" t="inlineStr">
        <is>
          <t>Selected pump make</t>
        </is>
      </c>
      <c r="B48" s="5" t="inlineStr"/>
    </row>
    <row r="49" ht="18" customHeight="1">
      <c r="A49" s="14" t="inlineStr">
        <is>
          <t>Selected pump model / part number</t>
        </is>
      </c>
      <c r="B49" s="5" t="inlineStr"/>
    </row>
    <row r="50" ht="18" customHeight="1">
      <c r="A50" s="14" t="inlineStr">
        <is>
          <t>Pump displacement (cc/rev)</t>
        </is>
      </c>
      <c r="B50" s="5" t="inlineStr"/>
    </row>
    <row r="51" ht="18" customHeight="1">
      <c r="A51" s="14" t="inlineStr">
        <is>
          <t>Pump max speed (rpm)</t>
        </is>
      </c>
      <c r="B51" s="5" t="inlineStr"/>
    </row>
    <row r="52" ht="18" customHeight="1">
      <c r="A52" s="14" t="inlineStr">
        <is>
          <t>Pump max pressure (kPa)</t>
        </is>
      </c>
      <c r="B52" s="5" t="inlineStr"/>
    </row>
    <row r="53" ht="18" customHeight="1">
      <c r="A53" s="14" t="inlineStr">
        <is>
          <t>Actual flow at operating speed (L/min)</t>
        </is>
      </c>
      <c r="B53" s="5" t="inlineStr"/>
    </row>
    <row r="54" ht="18" customHeight="1">
      <c r="A54" s="14" t="inlineStr">
        <is>
          <t>Seal material</t>
        </is>
      </c>
      <c r="B54" s="5" t="inlineStr"/>
    </row>
    <row r="55" ht="18" customHeight="1">
      <c r="A55" s="14" t="inlineStr">
        <is>
          <t>Drive configuration</t>
        </is>
      </c>
      <c r="B55" s="5" t="inlineStr"/>
    </row>
    <row r="56" ht="18" customHeight="1">
      <c r="A56" s="14" t="inlineStr">
        <is>
          <t>Fluid compatibility confirmed (Yes)</t>
        </is>
      </c>
      <c r="B56" s="5" t="inlineStr"/>
    </row>
    <row r="57" ht="18" customHeight="1">
      <c r="A57" s="14" t="inlineStr">
        <is>
          <t>Manufacturer data sheet attached (Yes / No)</t>
        </is>
      </c>
      <c r="B57" s="5" t="inlineStr"/>
    </row>
  </sheetData>
  <mergeCells count="31">
    <mergeCell ref="A4:D4"/>
    <mergeCell ref="B57:D57"/>
    <mergeCell ref="A38:D38"/>
    <mergeCell ref="C42:D42"/>
    <mergeCell ref="B53:D53"/>
    <mergeCell ref="B31:C31"/>
    <mergeCell ref="A28:D28"/>
    <mergeCell ref="C41:D41"/>
    <mergeCell ref="B49:D49"/>
    <mergeCell ref="A15:D15"/>
    <mergeCell ref="C44:D44"/>
    <mergeCell ref="C40:D40"/>
    <mergeCell ref="B55:D55"/>
    <mergeCell ref="B51:D51"/>
    <mergeCell ref="B13:C13"/>
    <mergeCell ref="A1:D1"/>
    <mergeCell ref="C43:D43"/>
    <mergeCell ref="B34:C34"/>
    <mergeCell ref="B50:D50"/>
    <mergeCell ref="A16:D16"/>
    <mergeCell ref="A46:D46"/>
    <mergeCell ref="B54:D54"/>
    <mergeCell ref="B30:C30"/>
    <mergeCell ref="B33:C33"/>
    <mergeCell ref="B56:D56"/>
    <mergeCell ref="B36:C36"/>
    <mergeCell ref="B32:C32"/>
    <mergeCell ref="B52:D52"/>
    <mergeCell ref="A2:D2"/>
    <mergeCell ref="B35:C35"/>
    <mergeCell ref="B48:D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6" customWidth="1" min="3" max="3"/>
  </cols>
  <sheetData>
    <row r="1" ht="22" customHeight="1">
      <c r="A1" s="9" t="inlineStr">
        <is>
          <t>SECTION 7 — Installation Checks</t>
        </is>
      </c>
      <c r="B1" s="10" t="n"/>
      <c r="C1" s="11" t="n"/>
    </row>
    <row r="2" ht="30" customHeight="1">
      <c r="A2" s="12" t="inlineStr">
        <is>
          <t>Confirm the selected PTO and pump can be physically installed without conflict. All items must be checked — do not skip. Any 'No' requires resolution before ordering.</t>
        </is>
      </c>
    </row>
    <row r="4" ht="18" customHeight="1">
      <c r="A4" s="16" t="inlineStr">
        <is>
          <t>7.1  Clearance and Fitment</t>
        </is>
      </c>
      <c r="B4" s="10" t="n"/>
      <c r="C4" s="11" t="n"/>
    </row>
    <row r="5" ht="28" customHeight="1">
      <c r="A5" s="13" t="inlineStr">
        <is>
          <t>Check</t>
        </is>
      </c>
      <c r="B5" s="13" t="inlineStr">
        <is>
          <t>Result</t>
        </is>
      </c>
      <c r="C5" s="13" t="inlineStr">
        <is>
          <t>Notes</t>
        </is>
      </c>
    </row>
    <row r="6" ht="20" customHeight="1">
      <c r="A6" s="14" t="inlineStr">
        <is>
          <t>PTO clears chassis cross members</t>
        </is>
      </c>
      <c r="B6" s="5" t="inlineStr"/>
      <c r="C6" s="15" t="inlineStr">
        <is>
          <t>Measure with PTO fitted to transmission model</t>
        </is>
      </c>
    </row>
    <row r="7" ht="20" customHeight="1">
      <c r="A7" s="14" t="inlineStr">
        <is>
          <t>PTO clears exhaust system</t>
        </is>
      </c>
      <c r="B7" s="5" t="inlineStr"/>
      <c r="C7" s="15" t="inlineStr">
        <is>
          <t>Heat shield or reroute if No</t>
        </is>
      </c>
    </row>
    <row r="8" ht="20" customHeight="1">
      <c r="A8" s="14" t="inlineStr">
        <is>
          <t>PTO clears driveline and driveshafts</t>
        </is>
      </c>
      <c r="B8" s="5" t="inlineStr"/>
      <c r="C8" s="15" t="inlineStr"/>
    </row>
    <row r="9" ht="20" customHeight="1">
      <c r="A9" s="14" t="inlineStr">
        <is>
          <t>PTO clears cab tilt mechanism (forward cab)</t>
        </is>
      </c>
      <c r="B9" s="5" t="inlineStr"/>
      <c r="C9" s="15" t="inlineStr">
        <is>
          <t>Critical — check full tilt arc</t>
        </is>
      </c>
    </row>
    <row r="10" ht="20" customHeight="1">
      <c r="A10" s="14" t="inlineStr">
        <is>
          <t>Pump mounting location identified</t>
        </is>
      </c>
      <c r="B10" s="5" t="inlineStr"/>
      <c r="C10" s="15" t="inlineStr"/>
    </row>
    <row r="11" ht="20" customHeight="1">
      <c r="A11" s="14" t="inlineStr">
        <is>
          <t>Pump mounting bracket required</t>
        </is>
      </c>
      <c r="B11" s="5" t="inlineStr"/>
      <c r="C11" s="15" t="inlineStr">
        <is>
          <t>Yes — design required / No</t>
        </is>
      </c>
    </row>
    <row r="12" ht="20" customHeight="1">
      <c r="A12" s="14" t="inlineStr">
        <is>
          <t>Pump accessible for maintenance and oil change</t>
        </is>
      </c>
      <c r="B12" s="5" t="inlineStr"/>
      <c r="C12" s="15" t="inlineStr"/>
    </row>
    <row r="13" ht="20" customHeight="1">
      <c r="A13" s="14" t="inlineStr">
        <is>
          <t>Driveshaft / coupling alignment within tolerance</t>
        </is>
      </c>
      <c r="B13" s="5" t="inlineStr"/>
      <c r="C13" s="15" t="inlineStr">
        <is>
          <t>Max angular misalignment per coupling mfr</t>
        </is>
      </c>
    </row>
    <row r="15" ht="18" customHeight="1">
      <c r="A15" s="16" t="inlineStr">
        <is>
          <t>7.2  Hydraulic Lines</t>
        </is>
      </c>
      <c r="B15" s="10" t="n"/>
      <c r="C15" s="11" t="n"/>
    </row>
    <row r="16" ht="28" customHeight="1">
      <c r="A16" s="13" t="inlineStr">
        <is>
          <t>Check</t>
        </is>
      </c>
      <c r="B16" s="13" t="inlineStr">
        <is>
          <t>Result</t>
        </is>
      </c>
      <c r="C16" s="13" t="inlineStr">
        <is>
          <t>Notes</t>
        </is>
      </c>
    </row>
    <row r="17" ht="20" customHeight="1">
      <c r="A17" s="14" t="inlineStr">
        <is>
          <t>Suction line diameter adequate for flow rate</t>
        </is>
      </c>
      <c r="B17" s="5" t="inlineStr"/>
      <c r="C17" s="15" t="inlineStr">
        <is>
          <t>Max suction velocity 1.0–1.5 m/s for fuel</t>
        </is>
      </c>
    </row>
    <row r="18" ht="20" customHeight="1">
      <c r="A18" s="14" t="inlineStr">
        <is>
          <t>Suction line as short and direct as possible</t>
        </is>
      </c>
      <c r="B18" s="5" t="inlineStr"/>
      <c r="C18" s="15" t="inlineStr">
        <is>
          <t>Minimise bends; no high points in suction</t>
        </is>
      </c>
    </row>
    <row r="19" ht="20" customHeight="1">
      <c r="A19" s="14" t="inlineStr">
        <is>
          <t>Suction line rated for vacuum (not just pressure)</t>
        </is>
      </c>
      <c r="B19" s="5" t="inlineStr"/>
      <c r="C19" s="15" t="inlineStr">
        <is>
          <t>Must not collapse under suction</t>
        </is>
      </c>
    </row>
    <row r="20" ht="20" customHeight="1">
      <c r="A20" s="14" t="inlineStr">
        <is>
          <t>All hoses rated for product and pressure</t>
        </is>
      </c>
      <c r="B20" s="5" t="inlineStr"/>
      <c r="C20" s="15" t="inlineStr">
        <is>
          <t>Check hose specs against ADG class</t>
        </is>
      </c>
    </row>
    <row r="21" ht="20" customHeight="1">
      <c r="A21" s="14" t="inlineStr">
        <is>
          <t>Hose routing avoids heat sources (exhaust)</t>
        </is>
      </c>
      <c r="B21" s="5" t="inlineStr"/>
      <c r="C21" s="15" t="inlineStr">
        <is>
          <t>Reroute / heat shield if No</t>
        </is>
      </c>
    </row>
    <row r="22" ht="20" customHeight="1">
      <c r="A22" s="14" t="inlineStr">
        <is>
          <t>Hose routing avoids sharp edges and chafe points</t>
        </is>
      </c>
      <c r="B22" s="5" t="inlineStr"/>
      <c r="C22" s="15" t="inlineStr">
        <is>
          <t>Add protection if No</t>
        </is>
      </c>
    </row>
    <row r="23" ht="20" customHeight="1">
      <c r="A23" s="14" t="inlineStr">
        <is>
          <t>Bonding and earthing to chassis (Class 3 / LPG)</t>
        </is>
      </c>
      <c r="B23" s="5" t="inlineStr"/>
      <c r="C23" s="15" t="inlineStr">
        <is>
          <t>ADG Code requirement</t>
        </is>
      </c>
    </row>
    <row r="25" ht="18" customHeight="1">
      <c r="A25" s="16" t="inlineStr">
        <is>
          <t>7.3  Controls</t>
        </is>
      </c>
      <c r="B25" s="10" t="n"/>
      <c r="C25" s="11" t="n"/>
    </row>
    <row r="26" ht="28" customHeight="1">
      <c r="A26" s="13" t="inlineStr">
        <is>
          <t>Check</t>
        </is>
      </c>
      <c r="B26" s="13" t="inlineStr">
        <is>
          <t>Result</t>
        </is>
      </c>
      <c r="C26" s="13" t="inlineStr">
        <is>
          <t>Notes</t>
        </is>
      </c>
    </row>
    <row r="27" ht="20" customHeight="1">
      <c r="A27" s="14" t="inlineStr">
        <is>
          <t>PTO engagement control type</t>
        </is>
      </c>
      <c r="B27" s="5" t="inlineStr"/>
      <c r="C27" s="15" t="inlineStr">
        <is>
          <t>Dash-mounted switch / Remote / PTO control module</t>
        </is>
      </c>
    </row>
    <row r="28" ht="20" customHeight="1">
      <c r="A28" s="14" t="inlineStr">
        <is>
          <t>PTO engagement interlock required</t>
        </is>
      </c>
      <c r="B28" s="5" t="inlineStr"/>
      <c r="C28" s="15" t="inlineStr">
        <is>
          <t>e.g. park brake applied; vehicle stationary</t>
        </is>
      </c>
    </row>
    <row r="29" ht="20" customHeight="1">
      <c r="A29" s="14" t="inlineStr">
        <is>
          <t>Overspeed protection provided</t>
        </is>
      </c>
      <c r="B29" s="5" t="inlineStr"/>
      <c r="C29" s="15" t="inlineStr">
        <is>
          <t>Protect pump from engine overspeed</t>
        </is>
      </c>
    </row>
    <row r="30" ht="20" customHeight="1">
      <c r="A30" s="14" t="inlineStr">
        <is>
          <t>Over-pressure protection — relief valve fitted</t>
        </is>
      </c>
      <c r="B30" s="5" t="inlineStr"/>
      <c r="C30" s="15" t="inlineStr">
        <is>
          <t>Set pressure = S4.1 relief valve set pressure</t>
        </is>
      </c>
    </row>
    <row r="31" ht="20" customHeight="1">
      <c r="A31" s="14" t="inlineStr">
        <is>
          <t>Deadman / emergency stop</t>
        </is>
      </c>
      <c r="B31" s="5" t="inlineStr"/>
      <c r="C31" s="15" t="inlineStr">
        <is>
          <t>ADG Code requirement for Class 3 / LPG</t>
        </is>
      </c>
    </row>
  </sheetData>
  <mergeCells count="5">
    <mergeCell ref="A25:C25"/>
    <mergeCell ref="A1:C1"/>
    <mergeCell ref="A15:C15"/>
    <mergeCell ref="A4:C4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</cols>
  <sheetData>
    <row r="1" ht="22" customHeight="1">
      <c r="A1" s="9" t="inlineStr">
        <is>
          <t>SECTION 8 — Final Specification Summary</t>
        </is>
      </c>
      <c r="B1" s="10" t="n"/>
      <c r="C1" s="11" t="n"/>
    </row>
    <row r="2" ht="30" customHeight="1">
      <c r="A2" s="12" t="inlineStr">
        <is>
          <t>Complete this section last. This is the formal record of what was specified and approved. All cells must be filled before sign-off.</t>
        </is>
      </c>
    </row>
    <row r="4" ht="20" customHeight="1">
      <c r="A4" s="35" t="inlineStr">
        <is>
          <t>VEHICLE</t>
        </is>
      </c>
      <c r="B4" s="5" t="inlineStr">
        <is>
          <t>Make / Model / Year / VIN:</t>
        </is>
      </c>
    </row>
    <row r="5" ht="20" customHeight="1">
      <c r="A5" s="35" t="inlineStr">
        <is>
          <t>TRANSMISSION</t>
        </is>
      </c>
      <c r="B5" s="5" t="inlineStr">
        <is>
          <t>Make / Model / Serial:</t>
        </is>
      </c>
    </row>
    <row r="6" ht="20" customHeight="1">
      <c r="A6" s="14" t="inlineStr">
        <is>
          <t>PTO make / model</t>
        </is>
      </c>
      <c r="B6" s="5" t="inlineStr"/>
    </row>
    <row r="7" ht="20" customHeight="1">
      <c r="A7" s="14" t="inlineStr">
        <is>
          <t>PTO ratio</t>
        </is>
      </c>
      <c r="B7" s="5" t="inlineStr">
        <is>
          <t>:1</t>
        </is>
      </c>
    </row>
    <row r="8" ht="20" customHeight="1">
      <c r="A8" s="14" t="inlineStr">
        <is>
          <t>PTO output speed at operating RPM</t>
        </is>
      </c>
      <c r="B8" s="5" t="inlineStr">
        <is>
          <t>rpm</t>
        </is>
      </c>
    </row>
    <row r="9" ht="20" customHeight="1">
      <c r="A9" s="14" t="inlineStr">
        <is>
          <t>PTO torque check</t>
        </is>
      </c>
      <c r="B9" s="5" t="inlineStr">
        <is>
          <t>PASSED — margin:      Nm</t>
        </is>
      </c>
    </row>
    <row r="10" ht="20" customHeight="1">
      <c r="A10" s="14" t="inlineStr">
        <is>
          <t>PTO approval confirmed in BBI</t>
        </is>
      </c>
      <c r="B10" s="5" t="inlineStr">
        <is>
          <t>BBI ref:</t>
        </is>
      </c>
    </row>
    <row r="11" ht="20" customHeight="1">
      <c r="A11" s="14" t="inlineStr">
        <is>
          <t>PUMP make / model</t>
        </is>
      </c>
      <c r="B11" s="5" t="inlineStr"/>
    </row>
    <row r="12" ht="20" customHeight="1">
      <c r="A12" s="14" t="inlineStr">
        <is>
          <t>Pump displacement</t>
        </is>
      </c>
      <c r="B12" s="5" t="inlineStr">
        <is>
          <t>cc/rev</t>
        </is>
      </c>
    </row>
    <row r="13" ht="20" customHeight="1">
      <c r="A13" s="14" t="inlineStr">
        <is>
          <t>Pump type</t>
        </is>
      </c>
      <c r="B13" s="5" t="inlineStr"/>
    </row>
    <row r="14" ht="20" customHeight="1">
      <c r="A14" s="14" t="inlineStr">
        <is>
          <t>Actual flow at operating RPM</t>
        </is>
      </c>
      <c r="B14" s="5" t="inlineStr">
        <is>
          <t>L/min</t>
        </is>
      </c>
    </row>
    <row r="15" ht="20" customHeight="1">
      <c r="A15" s="14" t="inlineStr">
        <is>
          <t>Operating pressure</t>
        </is>
      </c>
      <c r="B15" s="5" t="inlineStr">
        <is>
          <t>kPa</t>
        </is>
      </c>
    </row>
    <row r="16" ht="20" customHeight="1">
      <c r="A16" s="14" t="inlineStr">
        <is>
          <t>NPSH check</t>
        </is>
      </c>
      <c r="B16" s="5" t="inlineStr">
        <is>
          <t>PASSED — margin:      m</t>
        </is>
      </c>
    </row>
    <row r="17" ht="20" customHeight="1">
      <c r="A17" s="14" t="inlineStr">
        <is>
          <t>Fluid compatibility</t>
        </is>
      </c>
      <c r="B17" s="5" t="inlineStr">
        <is>
          <t>Confirmed</t>
        </is>
      </c>
    </row>
    <row r="18" ht="20" customHeight="1">
      <c r="A18" s="14" t="inlineStr">
        <is>
          <t>Seal material</t>
        </is>
      </c>
      <c r="B18" s="5" t="inlineStr"/>
    </row>
    <row r="19" ht="20" customHeight="1">
      <c r="A19" s="14" t="inlineStr">
        <is>
          <t>Rotation confirmed</t>
        </is>
      </c>
      <c r="B19" s="5" t="inlineStr">
        <is>
          <t>PTO and pump match</t>
        </is>
      </c>
    </row>
    <row r="20" ht="20" customHeight="1">
      <c r="A20" s="14" t="inlineStr">
        <is>
          <t>Drive / coupling confirmed</t>
        </is>
      </c>
      <c r="B20" s="5" t="inlineStr">
        <is>
          <t>SAE flange matched</t>
        </is>
      </c>
    </row>
    <row r="21" ht="20" customHeight="1">
      <c r="A21" s="14" t="inlineStr">
        <is>
          <t>Installation clearances</t>
        </is>
      </c>
      <c r="B21" s="5" t="inlineStr">
        <is>
          <t>All passed</t>
        </is>
      </c>
    </row>
    <row r="22" ht="20" customHeight="1">
      <c r="A22" s="14" t="inlineStr">
        <is>
          <t>Relief valve set pressure</t>
        </is>
      </c>
      <c r="B22" s="5" t="inlineStr">
        <is>
          <t>kPa</t>
        </is>
      </c>
    </row>
    <row r="23" ht="20" customHeight="1">
      <c r="A23" s="14" t="inlineStr">
        <is>
          <t>Earthing / bonding</t>
        </is>
      </c>
      <c r="B23" s="5" t="inlineStr">
        <is>
          <t>Specified</t>
        </is>
      </c>
    </row>
    <row r="25" ht="18" customHeight="1">
      <c r="A25" s="16" t="inlineStr">
        <is>
          <t>Sign-off</t>
        </is>
      </c>
      <c r="B25" s="10" t="n"/>
      <c r="C25" s="11" t="n"/>
    </row>
    <row r="26" ht="28" customHeight="1">
      <c r="A26" s="13" t="inlineStr">
        <is>
          <t>Role</t>
        </is>
      </c>
      <c r="B26" s="13" t="inlineStr">
        <is>
          <t>Name</t>
        </is>
      </c>
      <c r="C26" s="13" t="inlineStr">
        <is>
          <t>Date</t>
        </is>
      </c>
    </row>
    <row r="27" ht="20" customHeight="1">
      <c r="A27" s="32" t="inlineStr">
        <is>
          <t>Prepared by</t>
        </is>
      </c>
      <c r="B27" s="5" t="inlineStr"/>
      <c r="C27" s="5" t="inlineStr"/>
    </row>
    <row r="28" ht="20" customHeight="1">
      <c r="A28" s="32" t="inlineStr">
        <is>
          <t>Reviewed by</t>
        </is>
      </c>
      <c r="B28" s="5" t="inlineStr"/>
      <c r="C28" s="5" t="inlineStr"/>
    </row>
    <row r="29" ht="20" customHeight="1">
      <c r="A29" s="32" t="inlineStr">
        <is>
          <t>Approved by</t>
        </is>
      </c>
      <c r="B29" s="5" t="inlineStr"/>
      <c r="C29" s="5" t="inlineStr"/>
    </row>
  </sheetData>
  <mergeCells count="3">
    <mergeCell ref="A1:C1"/>
    <mergeCell ref="A25:C25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36" customWidth="1" min="3" max="3"/>
  </cols>
  <sheetData>
    <row r="1" ht="22" customHeight="1">
      <c r="A1" s="9" t="inlineStr">
        <is>
          <t>APPENDICES — Reference Data</t>
        </is>
      </c>
      <c r="B1" s="10" t="n"/>
      <c r="C1" s="11" t="n"/>
    </row>
    <row r="3" ht="18" customHeight="1">
      <c r="A3" s="16" t="inlineStr">
        <is>
          <t>Appendix A — Common PTO Ratios by Transmission</t>
        </is>
      </c>
      <c r="B3" s="10" t="n"/>
      <c r="C3" s="11" t="n"/>
    </row>
    <row r="4" ht="28" customHeight="1">
      <c r="A4" s="13" t="inlineStr">
        <is>
          <t>Transmission</t>
        </is>
      </c>
      <c r="B4" s="13" t="inlineStr">
        <is>
          <t>Common PTO Ratios Available</t>
        </is>
      </c>
      <c r="C4" s="13" t="inlineStr">
        <is>
          <t>Notes</t>
        </is>
      </c>
    </row>
    <row r="5" ht="20" customHeight="1">
      <c r="A5" s="32" t="inlineStr">
        <is>
          <t>Allison 3000 Series</t>
        </is>
      </c>
      <c r="B5" s="33" t="inlineStr">
        <is>
          <t>0.55, 0.68, 0.80, 0.87, 1.00</t>
        </is>
      </c>
      <c r="C5" s="15" t="inlineStr">
        <is>
          <t>Multiple ports; confirm with Allison BBI</t>
        </is>
      </c>
    </row>
    <row r="6" ht="20" customHeight="1">
      <c r="A6" s="32" t="inlineStr">
        <is>
          <t>Allison 4000 Series</t>
        </is>
      </c>
      <c r="B6" s="33" t="inlineStr">
        <is>
          <t>0.55, 0.68, 0.80, 1.00, 1.05</t>
        </is>
      </c>
      <c r="C6" s="15" t="inlineStr">
        <is>
          <t>Higher torque capacity than 3000</t>
        </is>
      </c>
    </row>
    <row r="7" ht="20" customHeight="1">
      <c r="A7" s="32" t="inlineStr">
        <is>
          <t>ZF 9-speed (AS Tronic / Traxon)</t>
        </is>
      </c>
      <c r="B7" s="33" t="inlineStr">
        <is>
          <t>0.55, 0.68, 1.00</t>
        </is>
      </c>
      <c r="C7" s="15" t="inlineStr">
        <is>
          <t>AMT — engagement conditions apply</t>
        </is>
      </c>
    </row>
    <row r="8" ht="20" customHeight="1">
      <c r="A8" s="32" t="inlineStr">
        <is>
          <t>Eaton Fuller (manual)</t>
        </is>
      </c>
      <c r="B8" s="33" t="inlineStr">
        <is>
          <t>0.68, 0.80, 0.87, 1.00, 1.05</t>
        </is>
      </c>
      <c r="C8" s="15" t="inlineStr">
        <is>
          <t>Mechanical engagement; multiple ports</t>
        </is>
      </c>
    </row>
    <row r="9" ht="20" customHeight="1">
      <c r="A9" s="32" t="inlineStr">
        <is>
          <t>Eaton UltraShift</t>
        </is>
      </c>
      <c r="B9" s="33" t="inlineStr">
        <is>
          <t>0.68, 1.00</t>
        </is>
      </c>
      <c r="C9" s="15" t="inlineStr">
        <is>
          <t>AMT — check software version for PTO support</t>
        </is>
      </c>
    </row>
    <row r="10" ht="20" customHeight="1">
      <c r="A10" s="32" t="inlineStr">
        <is>
          <t>Isuzu 6-speed AMT</t>
        </is>
      </c>
      <c r="B10" s="33" t="inlineStr">
        <is>
          <t>Confirm with Isuzu BBI</t>
        </is>
      </c>
      <c r="C10" s="15" t="inlineStr">
        <is>
          <t>Limited third-party PTO availability</t>
        </is>
      </c>
    </row>
    <row r="11" ht="20" customHeight="1">
      <c r="A11" s="32" t="inlineStr">
        <is>
          <t>Volvo I-Shift</t>
        </is>
      </c>
      <c r="B11" s="33" t="inlineStr">
        <is>
          <t>Confirm with Volvo BBI</t>
        </is>
      </c>
      <c r="C11" s="15" t="inlineStr">
        <is>
          <t>Volvo-specific PTO; OEM approval required</t>
        </is>
      </c>
    </row>
    <row r="12" ht="30" customHeight="1">
      <c r="A12" s="12" t="inlineStr">
        <is>
          <t>Always confirm available ratios against the specific transmission serial number — ratios vary by model year and specification.</t>
        </is>
      </c>
    </row>
    <row r="14" ht="18" customHeight="1">
      <c r="A14" s="16" t="inlineStr">
        <is>
          <t>Appendix B — Typical Pump Operating Speed Ranges</t>
        </is>
      </c>
      <c r="B14" s="10" t="n"/>
      <c r="C14" s="11" t="n"/>
    </row>
    <row r="15" ht="28" customHeight="1">
      <c r="A15" s="13" t="inlineStr">
        <is>
          <t>Pump Type</t>
        </is>
      </c>
      <c r="B15" s="13" t="inlineStr">
        <is>
          <t>Min Speed (rpm) / Max Speed (rpm)</t>
        </is>
      </c>
      <c r="C15" s="13" t="inlineStr">
        <is>
          <t>Notes</t>
        </is>
      </c>
    </row>
    <row r="16" ht="20" customHeight="1">
      <c r="A16" s="32" t="inlineStr">
        <is>
          <t>External gear pump (small, &lt;25 cc)</t>
        </is>
      </c>
      <c r="B16" s="34" t="inlineStr">
        <is>
          <t>400 – 3000</t>
        </is>
      </c>
      <c r="C16" s="15" t="inlineStr">
        <is>
          <t>Check manufacturer spec sheet</t>
        </is>
      </c>
    </row>
    <row r="17" ht="20" customHeight="1">
      <c r="A17" s="32" t="inlineStr">
        <is>
          <t>External gear pump (large, &gt;50 cc)</t>
        </is>
      </c>
      <c r="B17" s="34" t="inlineStr">
        <is>
          <t>300 – 2500</t>
        </is>
      </c>
      <c r="C17" s="15" t="inlineStr"/>
    </row>
    <row r="18" ht="20" customHeight="1">
      <c r="A18" s="32" t="inlineStr">
        <is>
          <t>Vane pump</t>
        </is>
      </c>
      <c r="B18" s="34" t="inlineStr">
        <is>
          <t>600 – 2500</t>
        </is>
      </c>
      <c r="C18" s="15" t="inlineStr">
        <is>
          <t>Minimum speed critical for vane loading</t>
        </is>
      </c>
    </row>
    <row r="19" ht="20" customHeight="1">
      <c r="A19" s="32" t="inlineStr">
        <is>
          <t>Axial piston pump</t>
        </is>
      </c>
      <c r="B19" s="34" t="inlineStr">
        <is>
          <t>500 – 3500</t>
        </is>
      </c>
      <c r="C19" s="15" t="inlineStr">
        <is>
          <t>Higher range possible with some models</t>
        </is>
      </c>
    </row>
    <row r="20" ht="20" customHeight="1">
      <c r="A20" s="32" t="inlineStr">
        <is>
          <t>Corken Z-series (LPG)</t>
        </is>
      </c>
      <c r="B20" s="34" t="inlineStr">
        <is>
          <t>300 – 900</t>
        </is>
      </c>
      <c r="C20" s="15" t="inlineStr">
        <is>
          <t>Hydraulic motor driven — see Corken data</t>
        </is>
      </c>
    </row>
    <row r="21" ht="20" customHeight="1">
      <c r="A21" s="32" t="inlineStr">
        <is>
          <t>Blackmer sliding vane</t>
        </is>
      </c>
      <c r="B21" s="34" t="inlineStr">
        <is>
          <t>200 – 600</t>
        </is>
      </c>
      <c r="C21" s="15" t="inlineStr">
        <is>
          <t>Used for fuel transfer — confirm model</t>
        </is>
      </c>
    </row>
    <row r="22" ht="20" customHeight="1">
      <c r="A22" s="32" t="inlineStr">
        <is>
          <t>Ebsray (fuel / LPG)</t>
        </is>
      </c>
      <c r="B22" s="34" t="inlineStr">
        <is>
          <t>300 – 1750</t>
        </is>
      </c>
      <c r="C22" s="15" t="inlineStr">
        <is>
          <t>Confirm against specific model</t>
        </is>
      </c>
    </row>
    <row r="25" ht="18" customHeight="1">
      <c r="A25" s="16" t="inlineStr">
        <is>
          <t>Appendix C — Key References and Standards</t>
        </is>
      </c>
      <c r="B25" s="10" t="n"/>
      <c r="C25" s="11" t="n"/>
    </row>
    <row r="26" ht="28" customHeight="1">
      <c r="A26" s="13" t="inlineStr">
        <is>
          <t>Document</t>
        </is>
      </c>
      <c r="B26" s="13" t="inlineStr">
        <is>
          <t>Scope</t>
        </is>
      </c>
      <c r="C26" s="13" t="inlineStr"/>
    </row>
    <row r="27" ht="20" customHeight="1">
      <c r="A27" s="32" t="inlineStr">
        <is>
          <t>OEM BBI — transmission specific</t>
        </is>
      </c>
      <c r="B27" s="33" t="inlineStr">
        <is>
          <t>PTO approval, torque limits, engagement conditions</t>
        </is>
      </c>
    </row>
    <row r="28" ht="20" customHeight="1">
      <c r="A28" s="32" t="inlineStr">
        <is>
          <t>OEM BBI — vehicle chassis</t>
        </is>
      </c>
      <c r="B28" s="33" t="inlineStr">
        <is>
          <t>Mounting zones, prohibited areas, hydraulic line routing</t>
        </is>
      </c>
    </row>
    <row r="29" ht="20" customHeight="1">
      <c r="A29" s="32" t="inlineStr">
        <is>
          <t>ADG Code 7th Edition</t>
        </is>
      </c>
      <c r="B29" s="33" t="inlineStr">
        <is>
          <t>Dangerous goods transport requirements by class</t>
        </is>
      </c>
    </row>
    <row r="30" ht="20" customHeight="1">
      <c r="A30" s="32" t="inlineStr">
        <is>
          <t>AS 1596:2014</t>
        </is>
      </c>
      <c r="B30" s="33" t="inlineStr">
        <is>
          <t>LPG storage and handling</t>
        </is>
      </c>
    </row>
    <row r="31" ht="20" customHeight="1">
      <c r="A31" s="32" t="inlineStr">
        <is>
          <t>AS 2809.1 / 2809.2</t>
        </is>
      </c>
      <c r="B31" s="33" t="inlineStr">
        <is>
          <t>Road tank vehicles for dangerous goods</t>
        </is>
      </c>
    </row>
    <row r="32" ht="20" customHeight="1">
      <c r="A32" s="32" t="inlineStr">
        <is>
          <t>AS/NZS 60079</t>
        </is>
      </c>
      <c r="B32" s="33" t="inlineStr">
        <is>
          <t>Hazardous area classification — pump and motor selection</t>
        </is>
      </c>
    </row>
    <row r="33" ht="20" customHeight="1">
      <c r="A33" s="32" t="inlineStr">
        <is>
          <t>AS 1376</t>
        </is>
      </c>
      <c r="B33" s="33" t="inlineStr">
        <is>
          <t>Fluid power — hydraulic systems</t>
        </is>
      </c>
    </row>
    <row r="34" ht="20" customHeight="1">
      <c r="A34" s="32" t="inlineStr">
        <is>
          <t>NMI M 10</t>
        </is>
      </c>
      <c r="B34" s="33" t="inlineStr">
        <is>
          <t>Trade measurement approval for metering applications</t>
        </is>
      </c>
    </row>
    <row r="35" ht="20" customHeight="1">
      <c r="A35" s="32" t="inlineStr">
        <is>
          <t>ISO 5167</t>
        </is>
      </c>
      <c r="B35" s="33" t="inlineStr">
        <is>
          <t>Measurement of fluid flow — restriction orifices</t>
        </is>
      </c>
    </row>
    <row r="36" ht="20" customHeight="1">
      <c r="A36" s="32" t="inlineStr">
        <is>
          <t>Pump manufacturer data sheet</t>
        </is>
      </c>
      <c r="B36" s="33" t="inlineStr">
        <is>
          <t>Displacement, speed, pressure, seal compatibility</t>
        </is>
      </c>
    </row>
    <row r="37" ht="20" customHeight="1">
      <c r="A37" s="32" t="inlineStr">
        <is>
          <t>Transmission OEM engineering data</t>
        </is>
      </c>
      <c r="B37" s="33" t="inlineStr">
        <is>
          <t>PTO torque ratings, approved PTO list, engagement windows</t>
        </is>
      </c>
    </row>
    <row r="40" ht="32" customHeight="1">
      <c r="A40" s="36" t="inlineStr">
        <is>
          <t>Harlow (Heavy Vehicle Body Engineer) + Petra (Process &amp; Instrumentation Engineer) — The Works  |  This template is a specification aid. All designs must be verified against current OEM BBI and applicable Australian Standards.</t>
        </is>
      </c>
    </row>
  </sheetData>
  <mergeCells count="17">
    <mergeCell ref="A25:C25"/>
    <mergeCell ref="B30:C30"/>
    <mergeCell ref="B29:C29"/>
    <mergeCell ref="B33:C33"/>
    <mergeCell ref="A1:C1"/>
    <mergeCell ref="A14:C14"/>
    <mergeCell ref="B27:C27"/>
    <mergeCell ref="B34:C34"/>
    <mergeCell ref="B28:C28"/>
    <mergeCell ref="B37:C37"/>
    <mergeCell ref="A40:C40"/>
    <mergeCell ref="B36:C36"/>
    <mergeCell ref="A3:C3"/>
    <mergeCell ref="B32:C32"/>
    <mergeCell ref="B31:C31"/>
    <mergeCell ref="A12:C12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2026-06-09T03:02:26Z</dcterms:created>
  <dcterms:modified xmlns:dcterms="http://purl.org/dc/terms/" xmlns:xsi="http://www.w3.org/2001/XMLSchema-instance" xsi:type="dcterms:W3CDTF">2026-06-09T03:02:27Z</dcterms:modified>
</cp:coreProperties>
</file>