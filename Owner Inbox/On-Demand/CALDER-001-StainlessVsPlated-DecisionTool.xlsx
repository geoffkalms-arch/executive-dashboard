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Tool" sheetId="1" state="visible" r:id="rId1"/>
  </sheets>
  <definedNames>
    <definedName name="_xlnm.Print_Area" localSheetId="0">'Decision Tool'!$A$1:$G$58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##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595959"/>
      <sz val="10"/>
    </font>
    <font>
      <name val="Calibri"/>
      <b val="1"/>
      <color rgb="00833C00"/>
      <sz val="10"/>
    </font>
    <font>
      <name val="Calibri"/>
      <color rgb="00833C0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375623"/>
      <sz val="11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FFFFFF"/>
      <sz val="13"/>
    </font>
    <font>
      <name val="Calibri"/>
      <i val="1"/>
      <color rgb="007F6000"/>
      <sz val="9"/>
    </font>
    <font>
      <name val="Calibri"/>
      <b val="1"/>
      <color rgb="00375623"/>
      <sz val="10"/>
    </font>
    <font>
      <name val="Calibri"/>
      <b val="1"/>
      <color rgb="001F4E79"/>
      <sz val="10"/>
    </font>
    <font>
      <name val="Calibri"/>
      <i val="1"/>
      <color rgb="00CCCCCC"/>
      <sz val="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0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CE4D6"/>
      </patternFill>
    </fill>
    <fill>
      <patternFill patternType="solid">
        <fgColor rgb="00FF6600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6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4" fontId="9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right" vertical="center"/>
    </xf>
    <xf numFmtId="164" fontId="5" fillId="13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11" fillId="12" borderId="1" applyAlignment="1" pivotButton="0" quotePrefix="0" xfId="0">
      <alignment horizontal="right" vertical="center"/>
    </xf>
    <xf numFmtId="164" fontId="12" fillId="1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Calibri"/>
        <b val="1"/>
        <color rgb="00FFFFFF"/>
        <sz val="13"/>
      </font>
      <fill>
        <patternFill patternType="solid">
          <fgColor rgb="001E7145"/>
        </patternFill>
      </fill>
    </dxf>
    <dxf>
      <font>
        <name val="Calibri"/>
        <b val="1"/>
        <color rgb="00FFFFFF"/>
        <sz val="13"/>
      </font>
      <fill>
        <patternFill patternType="solid">
          <fgColor rgb="001F4E79"/>
        </patternFill>
      </fill>
    </dxf>
    <dxf>
      <font>
        <name val="Calibri"/>
        <color rgb="00375623"/>
        <sz val="10"/>
      </font>
      <fill>
        <patternFill patternType="solid">
          <fgColor rgb="00C6EFCE"/>
        </patternFill>
      </fill>
    </dxf>
    <dxf>
      <font>
        <name val="Calibri"/>
        <color rgb="001F4E79"/>
        <sz val="10"/>
      </font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5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4" customWidth="1" min="7" max="7"/>
  </cols>
  <sheetData>
    <row r="1" ht="8" customHeight="1"/>
    <row r="2" ht="32" customHeight="1">
      <c r="B2" s="1" t="inlineStr">
        <is>
          <t>MATERIAL SELECTION — Stainless vs Plated Carbon Steel</t>
        </is>
      </c>
    </row>
    <row r="3" ht="18" customHeight="1">
      <c r="B3" s="2" t="inlineStr">
        <is>
          <t>Calder Decision Tool  |  CALDER-001  |  The Works</t>
        </is>
      </c>
    </row>
    <row r="4" ht="8" customHeight="1"/>
    <row r="5" ht="20" customHeight="1">
      <c r="B5" s="3" t="inlineStr">
        <is>
          <t xml:space="preserve">  SECTION 1 — MY RATES  (yellow cells = enter your values)</t>
        </is>
      </c>
    </row>
    <row r="6" ht="16" customHeight="1">
      <c r="B6" s="4" t="inlineStr">
        <is>
          <t>Parameter</t>
        </is>
      </c>
      <c r="C6" s="5" t="inlineStr">
        <is>
          <t>Your Rate</t>
        </is>
      </c>
      <c r="D6" s="5" t="inlineStr">
        <is>
          <t>Unit</t>
        </is>
      </c>
      <c r="E6" s="5" t="inlineStr">
        <is>
          <t>Notes</t>
        </is>
      </c>
      <c r="F6" s="6" t="n"/>
    </row>
    <row r="7" ht="18" customHeight="1">
      <c r="B7" s="7" t="inlineStr">
        <is>
          <t>Stainless steel — price per kg</t>
        </is>
      </c>
      <c r="C7" s="8" t="n">
        <v>4.5</v>
      </c>
      <c r="D7" s="7" t="inlineStr">
        <is>
          <t>$/kg</t>
        </is>
      </c>
      <c r="E7" s="9" t="inlineStr">
        <is>
          <t>Laser-ready stainless, delivered</t>
        </is>
      </c>
    </row>
    <row r="8" ht="18" customHeight="1">
      <c r="B8" s="7" t="inlineStr">
        <is>
          <t>Mild steel — price per kg</t>
        </is>
      </c>
      <c r="C8" s="8" t="n">
        <v>1.2</v>
      </c>
      <c r="D8" s="7" t="inlineStr">
        <is>
          <t>$/kg</t>
        </is>
      </c>
      <c r="E8" s="9" t="inlineStr">
        <is>
          <t>HR/CR mild steel, delivered</t>
        </is>
      </c>
    </row>
    <row r="9" ht="18" customHeight="1">
      <c r="B9" s="7" t="inlineStr">
        <is>
          <t>Plating cost per kg</t>
        </is>
      </c>
      <c r="C9" s="8" t="n">
        <v>3</v>
      </c>
      <c r="D9" s="7" t="inlineStr">
        <is>
          <t>$/kg</t>
        </is>
      </c>
      <c r="E9" s="9" t="inlineStr">
        <is>
          <t>Zinc or nickel plate, per kg charged by plater</t>
        </is>
      </c>
    </row>
    <row r="10" ht="18" customHeight="1">
      <c r="B10" s="7" t="inlineStr">
        <is>
          <t>Freight OUT to plater</t>
        </is>
      </c>
      <c r="C10" s="8" t="n">
        <v>25</v>
      </c>
      <c r="D10" s="7" t="inlineStr">
        <is>
          <t>$/consignment</t>
        </is>
      </c>
      <c r="E10" s="9" t="inlineStr">
        <is>
          <t>Cost to send one batch to plating house</t>
        </is>
      </c>
    </row>
    <row r="11" ht="18" customHeight="1">
      <c r="B11" s="7" t="inlineStr">
        <is>
          <t>Freight RETURN from plater</t>
        </is>
      </c>
      <c r="C11" s="8" t="n">
        <v>25</v>
      </c>
      <c r="D11" s="7" t="inlineStr">
        <is>
          <t>$/consignment</t>
        </is>
      </c>
      <c r="E11" s="9" t="inlineStr">
        <is>
          <t>Cost to receive one batch back from plating house</t>
        </is>
      </c>
    </row>
    <row r="12" ht="18" customHeight="1">
      <c r="B12" s="7" t="inlineStr">
        <is>
          <t>Plating minimum charge</t>
        </is>
      </c>
      <c r="C12" s="8" t="n">
        <v>30</v>
      </c>
      <c r="D12" s="7" t="inlineStr">
        <is>
          <t>$/consignment</t>
        </is>
      </c>
      <c r="E12" s="9" t="inlineStr">
        <is>
          <t>Min fee plater charges regardless of weight</t>
        </is>
      </c>
    </row>
    <row r="14" ht="20" customHeight="1">
      <c r="B14" s="3" t="inlineStr">
        <is>
          <t xml:space="preserve">  SECTION 2 — CALCULATED THRESHOLDS</t>
        </is>
      </c>
    </row>
    <row r="15" ht="18" customHeight="1">
      <c r="B15" s="7" t="inlineStr">
        <is>
          <t>Stainless premium per kg  (SS price − Mild price)</t>
        </is>
      </c>
      <c r="C15" s="10">
        <f>$C$7-$C$8</f>
        <v/>
      </c>
      <c r="D15" s="11" t="inlineStr">
        <is>
          <t>$/kg</t>
        </is>
      </c>
      <c r="E15" s="11" t="inlineStr">
        <is>
          <t>Extra cost per kg to use stainless instead of mild</t>
        </is>
      </c>
    </row>
    <row r="16" ht="18" customHeight="1">
      <c r="B16" s="7" t="inlineStr">
        <is>
          <t>Total plating overhead per consignment  (freight both ways + min charge)</t>
        </is>
      </c>
      <c r="C16" s="10">
        <f>$C$10+$C$11</f>
        <v/>
      </c>
      <c r="D16" s="11" t="inlineStr">
        <is>
          <t>$/consignment</t>
        </is>
      </c>
      <c r="E16" s="11" t="inlineStr">
        <is>
          <t>Fixed cost per trip regardless of batch weight</t>
        </is>
      </c>
    </row>
    <row r="17" ht="18" customHeight="1">
      <c r="B17" s="7" t="inlineStr">
        <is>
          <t>BREAKEVEN BATCH WEIGHT  (below this → use Stainless)</t>
        </is>
      </c>
      <c r="C17" s="12">
        <f>IFERROR(IF(($C$7-$C$8-$C$9)&lt;=0,"N/A",MAX($C$16,$C$12)/($C$7-$C$8-$C$9)),"Check rates")</f>
        <v/>
      </c>
      <c r="D17" s="13" t="inlineStr">
        <is>
          <t>kg</t>
        </is>
      </c>
      <c r="E17" s="14" t="inlineStr">
        <is>
          <t>Batches BELOW this weight → stainless is cheaper. ABOVE → plate.</t>
        </is>
      </c>
    </row>
    <row r="19" ht="20" customHeight="1">
      <c r="B19" s="3" t="inlineStr">
        <is>
          <t xml:space="preserve">  SECTION 3 — JOB CALCULATOR  (enter this batch details)</t>
        </is>
      </c>
    </row>
    <row r="20" ht="18" customHeight="1">
      <c r="B20" s="7" t="inlineStr">
        <is>
          <t>Batch weight (total kg for this job)</t>
        </is>
      </c>
      <c r="C20" s="8" t="n">
        <v>10</v>
      </c>
      <c r="D20" s="7" t="inlineStr">
        <is>
          <t>kg</t>
        </is>
      </c>
      <c r="E20" s="15" t="inlineStr">
        <is>
          <t>Total weight of laser-cut parts in this consignment</t>
        </is>
      </c>
    </row>
    <row r="21" ht="18" customHeight="1">
      <c r="B21" s="7" t="inlineStr">
        <is>
          <t>Number of parts</t>
        </is>
      </c>
      <c r="C21" s="16" t="n">
        <v>20</v>
      </c>
      <c r="D21" s="7" t="inlineStr">
        <is>
          <t>parts</t>
        </is>
      </c>
      <c r="E21" s="15" t="inlineStr">
        <is>
          <t>Informational — used for per-part cost display</t>
        </is>
      </c>
    </row>
    <row r="22" ht="16" customHeight="1">
      <c r="B22" s="5" t="inlineStr">
        <is>
          <t>Result</t>
        </is>
      </c>
      <c r="C22" s="17" t="inlineStr">
        <is>
          <t>Stainless Route</t>
        </is>
      </c>
      <c r="D22" s="18" t="inlineStr">
        <is>
          <t>Plated Route</t>
        </is>
      </c>
      <c r="E22" s="5" t="inlineStr">
        <is>
          <t>Difference</t>
        </is>
      </c>
      <c r="F22" s="5" t="inlineStr">
        <is>
          <t>Per Part</t>
        </is>
      </c>
    </row>
    <row r="23" ht="18" customHeight="1">
      <c r="B23" s="7" t="inlineStr">
        <is>
          <t>Material cost</t>
        </is>
      </c>
      <c r="C23" s="19">
        <f>$C$7*$C$20</f>
        <v/>
      </c>
      <c r="D23" s="20">
        <f>$C$8*$C$20</f>
        <v/>
      </c>
      <c r="E23" s="21">
        <f>D23-C23</f>
        <v/>
      </c>
      <c r="F23" s="21">
        <f>IFERROR(C23/$C$21,0)</f>
        <v/>
      </c>
    </row>
    <row r="24" ht="18" customHeight="1">
      <c r="B24" s="7" t="inlineStr">
        <is>
          <t>Plating cost  (weight-based)</t>
        </is>
      </c>
      <c r="C24" s="19">
        <f>0</f>
        <v/>
      </c>
      <c r="D24" s="20">
        <f>$C$9*$C$20</f>
        <v/>
      </c>
      <c r="E24" s="21">
        <f>D24-C24</f>
        <v/>
      </c>
      <c r="F24" s="21">
        <f>IFERROR(D24/$C$21,0)</f>
        <v/>
      </c>
    </row>
    <row r="25" ht="18" customHeight="1">
      <c r="B25" s="7" t="inlineStr">
        <is>
          <t>Freight cost  (out + return)</t>
        </is>
      </c>
      <c r="C25" s="19">
        <f>0</f>
        <v/>
      </c>
      <c r="D25" s="20">
        <f>$C$10+$C$11</f>
        <v/>
      </c>
      <c r="E25" s="21">
        <f>D25-C25</f>
        <v/>
      </c>
      <c r="F25" s="21">
        <f>IFERROR(D25/$C$21,0)</f>
        <v/>
      </c>
    </row>
    <row r="26" ht="18" customHeight="1">
      <c r="B26" s="7" t="inlineStr">
        <is>
          <t>Plating minimum charge  (if applies)</t>
        </is>
      </c>
      <c r="C26" s="19">
        <f>0</f>
        <v/>
      </c>
      <c r="D26" s="20">
        <f>MAX(0,$C$12-$C$9*$C$20)</f>
        <v/>
      </c>
      <c r="E26" s="21">
        <f>D26-C26</f>
        <v/>
      </c>
      <c r="F26" s="21">
        <f>IFERROR(D26/$C$21,0)</f>
        <v/>
      </c>
    </row>
    <row r="27" ht="22" customHeight="1">
      <c r="B27" s="3" t="inlineStr">
        <is>
          <t>TOTAL COST</t>
        </is>
      </c>
      <c r="C27" s="22">
        <f>SUM(C23:C26)</f>
        <v/>
      </c>
      <c r="D27" s="23">
        <f>SUM(D23:D26)</f>
        <v/>
      </c>
      <c r="E27" s="24">
        <f>D27-C27</f>
        <v/>
      </c>
      <c r="F27" s="25">
        <f>IFERROR(C27/$C$21,0)</f>
        <v/>
      </c>
    </row>
    <row r="28" ht="18" customHeight="1">
      <c r="B28" s="7" t="inlineStr">
        <is>
          <t>Cost per kg</t>
        </is>
      </c>
      <c r="C28" s="19">
        <f>IFERROR(C27/$C$20,0)</f>
        <v/>
      </c>
      <c r="D28" s="20">
        <f>IFERROR(D27/$C$20,0)</f>
        <v/>
      </c>
      <c r="E28" s="21">
        <f>D28-C28</f>
        <v/>
      </c>
      <c r="F28" s="26" t="inlineStr">
        <is>
          <t>—</t>
        </is>
      </c>
    </row>
    <row r="29" ht="18" customHeight="1">
      <c r="B29" s="7" t="inlineStr">
        <is>
          <t>Cost per part</t>
        </is>
      </c>
      <c r="C29" s="19">
        <f>IFERROR(C27/$C$21,0)</f>
        <v/>
      </c>
      <c r="D29" s="20">
        <f>IFERROR(D27/$C$21,0)</f>
        <v/>
      </c>
      <c r="E29" s="21">
        <f>D29-C29</f>
        <v/>
      </c>
      <c r="F29" s="26" t="inlineStr">
        <is>
          <t>—</t>
        </is>
      </c>
    </row>
    <row r="30" ht="28" customHeight="1">
      <c r="B30" s="27">
        <f>IF(C27&lt;D27,"  ✔  USE STAINLESS STEEL  —  saves $"&amp;TEXT(D27-C27,"#,##0.00")&amp;" on this batch","  ✔  USE PLATED CARBON STEEL  —  saves $"&amp;TEXT(C27-D27,"#,##0.00")&amp;" on this batch")</f>
        <v/>
      </c>
    </row>
    <row r="32" ht="20" customHeight="1">
      <c r="B32" s="3" t="inlineStr">
        <is>
          <t xml:space="preserve">  SECTION 4 — SENSITIVITY TABLE  (cost per kg by batch weight — crossover visible)</t>
        </is>
      </c>
    </row>
    <row r="33" ht="16" customHeight="1">
      <c r="B33" s="5" t="inlineStr">
        <is>
          <t>Batch Weight (kg)</t>
        </is>
      </c>
      <c r="C33" s="17" t="inlineStr">
        <is>
          <t>Stainless $/kg</t>
        </is>
      </c>
      <c r="D33" s="18" t="inlineStr">
        <is>
          <t>Plated $/kg</t>
        </is>
      </c>
      <c r="E33" s="5" t="inlineStr">
        <is>
          <t>Cheaper Option</t>
        </is>
      </c>
      <c r="F33" s="5" t="inlineStr">
        <is>
          <t>Saving $/kg</t>
        </is>
      </c>
    </row>
    <row r="34" ht="16" customHeight="1">
      <c r="B34" s="28" t="n">
        <v>1</v>
      </c>
      <c r="C34" s="19">
        <f>$C$7</f>
        <v/>
      </c>
      <c r="D34" s="20">
        <f>($C$8*B34+$C$9*B34+$C$10+$C$11+MAX(0,$C$12-$C$9*B34))/B34</f>
        <v/>
      </c>
      <c r="E34" s="29">
        <f>IF(C34&lt;D34,"STAINLESS","PLATE")</f>
        <v/>
      </c>
      <c r="F34" s="21">
        <f>ABS(C34-D34)</f>
        <v/>
      </c>
    </row>
    <row r="35" ht="16" customHeight="1">
      <c r="B35" s="28" t="n">
        <v>2</v>
      </c>
      <c r="C35" s="19">
        <f>$C$7</f>
        <v/>
      </c>
      <c r="D35" s="20">
        <f>($C$8*B35+$C$9*B35+$C$10+$C$11+MAX(0,$C$12-$C$9*B35))/B35</f>
        <v/>
      </c>
      <c r="E35" s="29">
        <f>IF(C35&lt;D35,"STAINLESS","PLATE")</f>
        <v/>
      </c>
      <c r="F35" s="21">
        <f>ABS(C35-D35)</f>
        <v/>
      </c>
    </row>
    <row r="36" ht="16" customHeight="1">
      <c r="B36" s="28" t="n">
        <v>3</v>
      </c>
      <c r="C36" s="19">
        <f>$C$7</f>
        <v/>
      </c>
      <c r="D36" s="20">
        <f>($C$8*B36+$C$9*B36+$C$10+$C$11+MAX(0,$C$12-$C$9*B36))/B36</f>
        <v/>
      </c>
      <c r="E36" s="29">
        <f>IF(C36&lt;D36,"STAINLESS","PLATE")</f>
        <v/>
      </c>
      <c r="F36" s="21">
        <f>ABS(C36-D36)</f>
        <v/>
      </c>
    </row>
    <row r="37" ht="16" customHeight="1">
      <c r="B37" s="28" t="n">
        <v>4</v>
      </c>
      <c r="C37" s="19">
        <f>$C$7</f>
        <v/>
      </c>
      <c r="D37" s="20">
        <f>($C$8*B37+$C$9*B37+$C$10+$C$11+MAX(0,$C$12-$C$9*B37))/B37</f>
        <v/>
      </c>
      <c r="E37" s="29">
        <f>IF(C37&lt;D37,"STAINLESS","PLATE")</f>
        <v/>
      </c>
      <c r="F37" s="21">
        <f>ABS(C37-D37)</f>
        <v/>
      </c>
    </row>
    <row r="38" ht="16" customHeight="1">
      <c r="B38" s="28" t="n">
        <v>5</v>
      </c>
      <c r="C38" s="19">
        <f>$C$7</f>
        <v/>
      </c>
      <c r="D38" s="20">
        <f>($C$8*B38+$C$9*B38+$C$10+$C$11+MAX(0,$C$12-$C$9*B38))/B38</f>
        <v/>
      </c>
      <c r="E38" s="29">
        <f>IF(C38&lt;D38,"STAINLESS","PLATE")</f>
        <v/>
      </c>
      <c r="F38" s="21">
        <f>ABS(C38-D38)</f>
        <v/>
      </c>
    </row>
    <row r="39" ht="16" customHeight="1">
      <c r="B39" s="28" t="n">
        <v>7.5</v>
      </c>
      <c r="C39" s="19">
        <f>$C$7</f>
        <v/>
      </c>
      <c r="D39" s="20">
        <f>($C$8*B39+$C$9*B39+$C$10+$C$11+MAX(0,$C$12-$C$9*B39))/B39</f>
        <v/>
      </c>
      <c r="E39" s="29">
        <f>IF(C39&lt;D39,"STAINLESS","PLATE")</f>
        <v/>
      </c>
      <c r="F39" s="21">
        <f>ABS(C39-D39)</f>
        <v/>
      </c>
    </row>
    <row r="40" ht="16" customHeight="1">
      <c r="B40" s="28" t="n">
        <v>10</v>
      </c>
      <c r="C40" s="19">
        <f>$C$7</f>
        <v/>
      </c>
      <c r="D40" s="20">
        <f>($C$8*B40+$C$9*B40+$C$10+$C$11+MAX(0,$C$12-$C$9*B40))/B40</f>
        <v/>
      </c>
      <c r="E40" s="29">
        <f>IF(C40&lt;D40,"STAINLESS","PLATE")</f>
        <v/>
      </c>
      <c r="F40" s="21">
        <f>ABS(C40-D40)</f>
        <v/>
      </c>
    </row>
    <row r="41" ht="16" customHeight="1">
      <c r="B41" s="28" t="n">
        <v>15</v>
      </c>
      <c r="C41" s="19">
        <f>$C$7</f>
        <v/>
      </c>
      <c r="D41" s="20">
        <f>($C$8*B41+$C$9*B41+$C$10+$C$11+MAX(0,$C$12-$C$9*B41))/B41</f>
        <v/>
      </c>
      <c r="E41" s="29">
        <f>IF(C41&lt;D41,"STAINLESS","PLATE")</f>
        <v/>
      </c>
      <c r="F41" s="21">
        <f>ABS(C41-D41)</f>
        <v/>
      </c>
    </row>
    <row r="42" ht="16" customHeight="1">
      <c r="B42" s="28" t="n">
        <v>20</v>
      </c>
      <c r="C42" s="19">
        <f>$C$7</f>
        <v/>
      </c>
      <c r="D42" s="20">
        <f>($C$8*B42+$C$9*B42+$C$10+$C$11+MAX(0,$C$12-$C$9*B42))/B42</f>
        <v/>
      </c>
      <c r="E42" s="29">
        <f>IF(C42&lt;D42,"STAINLESS","PLATE")</f>
        <v/>
      </c>
      <c r="F42" s="21">
        <f>ABS(C42-D42)</f>
        <v/>
      </c>
    </row>
    <row r="43" ht="16" customHeight="1">
      <c r="B43" s="28" t="n">
        <v>25</v>
      </c>
      <c r="C43" s="19">
        <f>$C$7</f>
        <v/>
      </c>
      <c r="D43" s="20">
        <f>($C$8*B43+$C$9*B43+$C$10+$C$11+MAX(0,$C$12-$C$9*B43))/B43</f>
        <v/>
      </c>
      <c r="E43" s="29">
        <f>IF(C43&lt;D43,"STAINLESS","PLATE")</f>
        <v/>
      </c>
      <c r="F43" s="21">
        <f>ABS(C43-D43)</f>
        <v/>
      </c>
    </row>
    <row r="44" ht="16" customHeight="1">
      <c r="B44" s="28" t="n">
        <v>30</v>
      </c>
      <c r="C44" s="19">
        <f>$C$7</f>
        <v/>
      </c>
      <c r="D44" s="20">
        <f>($C$8*B44+$C$9*B44+$C$10+$C$11+MAX(0,$C$12-$C$9*B44))/B44</f>
        <v/>
      </c>
      <c r="E44" s="29">
        <f>IF(C44&lt;D44,"STAINLESS","PLATE")</f>
        <v/>
      </c>
      <c r="F44" s="21">
        <f>ABS(C44-D44)</f>
        <v/>
      </c>
    </row>
    <row r="45" ht="16" customHeight="1">
      <c r="B45" s="28" t="n">
        <v>40</v>
      </c>
      <c r="C45" s="19">
        <f>$C$7</f>
        <v/>
      </c>
      <c r="D45" s="20">
        <f>($C$8*B45+$C$9*B45+$C$10+$C$11+MAX(0,$C$12-$C$9*B45))/B45</f>
        <v/>
      </c>
      <c r="E45" s="29">
        <f>IF(C45&lt;D45,"STAINLESS","PLATE")</f>
        <v/>
      </c>
      <c r="F45" s="21">
        <f>ABS(C45-D45)</f>
        <v/>
      </c>
    </row>
    <row r="46" ht="16" customHeight="1">
      <c r="B46" s="28" t="n">
        <v>50</v>
      </c>
      <c r="C46" s="19">
        <f>$C$7</f>
        <v/>
      </c>
      <c r="D46" s="20">
        <f>($C$8*B46+$C$9*B46+$C$10+$C$11+MAX(0,$C$12-$C$9*B46))/B46</f>
        <v/>
      </c>
      <c r="E46" s="29">
        <f>IF(C46&lt;D46,"STAINLESS","PLATE")</f>
        <v/>
      </c>
      <c r="F46" s="21">
        <f>ABS(C46-D46)</f>
        <v/>
      </c>
    </row>
    <row r="47" ht="16" customHeight="1">
      <c r="B47" s="28" t="n">
        <v>60</v>
      </c>
      <c r="C47" s="19">
        <f>$C$7</f>
        <v/>
      </c>
      <c r="D47" s="20">
        <f>($C$8*B47+$C$9*B47+$C$10+$C$11+MAX(0,$C$12-$C$9*B47))/B47</f>
        <v/>
      </c>
      <c r="E47" s="29">
        <f>IF(C47&lt;D47,"STAINLESS","PLATE")</f>
        <v/>
      </c>
      <c r="F47" s="21">
        <f>ABS(C47-D47)</f>
        <v/>
      </c>
    </row>
    <row r="48" ht="16" customHeight="1">
      <c r="B48" s="28" t="n">
        <v>70</v>
      </c>
      <c r="C48" s="19">
        <f>$C$7</f>
        <v/>
      </c>
      <c r="D48" s="20">
        <f>($C$8*B48+$C$9*B48+$C$10+$C$11+MAX(0,$C$12-$C$9*B48))/B48</f>
        <v/>
      </c>
      <c r="E48" s="29">
        <f>IF(C48&lt;D48,"STAINLESS","PLATE")</f>
        <v/>
      </c>
      <c r="F48" s="21">
        <f>ABS(C48-D48)</f>
        <v/>
      </c>
    </row>
    <row r="49" ht="16" customHeight="1">
      <c r="B49" s="28" t="n">
        <v>80</v>
      </c>
      <c r="C49" s="19">
        <f>$C$7</f>
        <v/>
      </c>
      <c r="D49" s="20">
        <f>($C$8*B49+$C$9*B49+$C$10+$C$11+MAX(0,$C$12-$C$9*B49))/B49</f>
        <v/>
      </c>
      <c r="E49" s="29">
        <f>IF(C49&lt;D49,"STAINLESS","PLATE")</f>
        <v/>
      </c>
      <c r="F49" s="21">
        <f>ABS(C49-D49)</f>
        <v/>
      </c>
    </row>
    <row r="50" ht="16" customHeight="1">
      <c r="B50" s="28" t="n">
        <v>90</v>
      </c>
      <c r="C50" s="19">
        <f>$C$7</f>
        <v/>
      </c>
      <c r="D50" s="20">
        <f>($C$8*B50+$C$9*B50+$C$10+$C$11+MAX(0,$C$12-$C$9*B50))/B50</f>
        <v/>
      </c>
      <c r="E50" s="29">
        <f>IF(C50&lt;D50,"STAINLESS","PLATE")</f>
        <v/>
      </c>
      <c r="F50" s="21">
        <f>ABS(C50-D50)</f>
        <v/>
      </c>
    </row>
    <row r="51" ht="16" customHeight="1">
      <c r="B51" s="28" t="n">
        <v>100</v>
      </c>
      <c r="C51" s="19">
        <f>$C$7</f>
        <v/>
      </c>
      <c r="D51" s="20">
        <f>($C$8*B51+$C$9*B51+$C$10+$C$11+MAX(0,$C$12-$C$9*B51))/B51</f>
        <v/>
      </c>
      <c r="E51" s="29">
        <f>IF(C51&lt;D51,"STAINLESS","PLATE")</f>
        <v/>
      </c>
      <c r="F51" s="21">
        <f>ABS(C51-D51)</f>
        <v/>
      </c>
    </row>
    <row r="52" ht="30" customHeight="1">
      <c r="B52" s="30" t="inlineStr">
        <is>
          <t>Green rows = Stainless is cheaper for that batch weight.  Blue rows = Plated carbon steel is cheaper.  The colour changes at the breakeven weight shown in Section 2.</t>
        </is>
      </c>
    </row>
    <row r="54" ht="16" customHeight="1">
      <c r="B54" s="31" t="inlineStr">
        <is>
          <t>Yellow cell</t>
        </is>
      </c>
      <c r="C54" s="15" t="inlineStr">
        <is>
          <t>User input — change these to match your prices</t>
        </is>
      </c>
      <c r="D54" s="32" t="inlineStr">
        <is>
          <t>Orange cell</t>
        </is>
      </c>
      <c r="E54" s="15" t="inlineStr">
        <is>
          <t>Auto-calculated threshold</t>
        </is>
      </c>
    </row>
    <row r="55" ht="16" customHeight="1">
      <c r="B55" s="33" t="inlineStr">
        <is>
          <t>Green cell</t>
        </is>
      </c>
      <c r="C55" s="15" t="inlineStr">
        <is>
          <t>Stainless route cost or winning recommendation</t>
        </is>
      </c>
      <c r="D55" s="34" t="inlineStr">
        <is>
          <t>Blue cell</t>
        </is>
      </c>
      <c r="E55" s="15" t="inlineStr">
        <is>
          <t>Plated route cost or winning recommendation</t>
        </is>
      </c>
    </row>
    <row r="57" ht="14" customHeight="1">
      <c r="B57" s="35" t="inlineStr">
        <is>
          <t>CALDER-001  |  The Works — Engineering &amp; Manufacturing Intelligence  |  Generated by Calder, Balanced Scorecard Implementation Specialist</t>
        </is>
      </c>
    </row>
  </sheetData>
  <mergeCells count="21">
    <mergeCell ref="E12:F12"/>
    <mergeCell ref="B3:F3"/>
    <mergeCell ref="E17:F17"/>
    <mergeCell ref="E8:F8"/>
    <mergeCell ref="B52:F52"/>
    <mergeCell ref="E20:F20"/>
    <mergeCell ref="B2:F2"/>
    <mergeCell ref="E10:F10"/>
    <mergeCell ref="B14:F14"/>
    <mergeCell ref="E9:F9"/>
    <mergeCell ref="B57:F57"/>
    <mergeCell ref="E6:F6"/>
    <mergeCell ref="E15:F15"/>
    <mergeCell ref="E11:F11"/>
    <mergeCell ref="B19:F19"/>
    <mergeCell ref="B30:F30"/>
    <mergeCell ref="E16:F16"/>
    <mergeCell ref="E7:F7"/>
    <mergeCell ref="B5:F5"/>
    <mergeCell ref="B32:F32"/>
    <mergeCell ref="E21:F21"/>
  </mergeCells>
  <conditionalFormatting sqref="B30:F30">
    <cfRule type="expression" priority="1" dxfId="0">
      <formula>C27&lt;D27</formula>
    </cfRule>
    <cfRule type="expression" priority="2" dxfId="1">
      <formula>D27&lt;=C27</formula>
    </cfRule>
  </conditionalFormatting>
  <conditionalFormatting sqref="B34:F34">
    <cfRule type="expression" priority="3" dxfId="2">
      <formula>C34&lt;D34</formula>
    </cfRule>
    <cfRule type="expression" priority="4" dxfId="3">
      <formula>D34&lt;=C34</formula>
    </cfRule>
  </conditionalFormatting>
  <conditionalFormatting sqref="B35:F35">
    <cfRule type="expression" priority="5" dxfId="2">
      <formula>C35&lt;D35</formula>
    </cfRule>
    <cfRule type="expression" priority="6" dxfId="3">
      <formula>D35&lt;=C35</formula>
    </cfRule>
  </conditionalFormatting>
  <conditionalFormatting sqref="B36:F36">
    <cfRule type="expression" priority="7" dxfId="2">
      <formula>C36&lt;D36</formula>
    </cfRule>
    <cfRule type="expression" priority="8" dxfId="3">
      <formula>D36&lt;=C36</formula>
    </cfRule>
  </conditionalFormatting>
  <conditionalFormatting sqref="B37:F37">
    <cfRule type="expression" priority="9" dxfId="2">
      <formula>C37&lt;D37</formula>
    </cfRule>
    <cfRule type="expression" priority="10" dxfId="3">
      <formula>D37&lt;=C37</formula>
    </cfRule>
  </conditionalFormatting>
  <conditionalFormatting sqref="B38:F38">
    <cfRule type="expression" priority="11" dxfId="2">
      <formula>C38&lt;D38</formula>
    </cfRule>
    <cfRule type="expression" priority="12" dxfId="3">
      <formula>D38&lt;=C38</formula>
    </cfRule>
  </conditionalFormatting>
  <conditionalFormatting sqref="B39:F39">
    <cfRule type="expression" priority="13" dxfId="2">
      <formula>C39&lt;D39</formula>
    </cfRule>
    <cfRule type="expression" priority="14" dxfId="3">
      <formula>D39&lt;=C39</formula>
    </cfRule>
  </conditionalFormatting>
  <conditionalFormatting sqref="B40:F40">
    <cfRule type="expression" priority="15" dxfId="2">
      <formula>C40&lt;D40</formula>
    </cfRule>
    <cfRule type="expression" priority="16" dxfId="3">
      <formula>D40&lt;=C40</formula>
    </cfRule>
  </conditionalFormatting>
  <conditionalFormatting sqref="B41:F41">
    <cfRule type="expression" priority="17" dxfId="2">
      <formula>C41&lt;D41</formula>
    </cfRule>
    <cfRule type="expression" priority="18" dxfId="3">
      <formula>D41&lt;=C41</formula>
    </cfRule>
  </conditionalFormatting>
  <conditionalFormatting sqref="B42:F42">
    <cfRule type="expression" priority="19" dxfId="2">
      <formula>C42&lt;D42</formula>
    </cfRule>
    <cfRule type="expression" priority="20" dxfId="3">
      <formula>D42&lt;=C42</formula>
    </cfRule>
  </conditionalFormatting>
  <conditionalFormatting sqref="B43:F43">
    <cfRule type="expression" priority="21" dxfId="2">
      <formula>C43&lt;D43</formula>
    </cfRule>
    <cfRule type="expression" priority="22" dxfId="3">
      <formula>D43&lt;=C43</formula>
    </cfRule>
  </conditionalFormatting>
  <conditionalFormatting sqref="B44:F44">
    <cfRule type="expression" priority="23" dxfId="2">
      <formula>C44&lt;D44</formula>
    </cfRule>
    <cfRule type="expression" priority="24" dxfId="3">
      <formula>D44&lt;=C44</formula>
    </cfRule>
  </conditionalFormatting>
  <conditionalFormatting sqref="B45:F45">
    <cfRule type="expression" priority="25" dxfId="2">
      <formula>C45&lt;D45</formula>
    </cfRule>
    <cfRule type="expression" priority="26" dxfId="3">
      <formula>D45&lt;=C45</formula>
    </cfRule>
  </conditionalFormatting>
  <conditionalFormatting sqref="B46:F46">
    <cfRule type="expression" priority="27" dxfId="2">
      <formula>C46&lt;D46</formula>
    </cfRule>
    <cfRule type="expression" priority="28" dxfId="3">
      <formula>D46&lt;=C46</formula>
    </cfRule>
  </conditionalFormatting>
  <conditionalFormatting sqref="B47:F47">
    <cfRule type="expression" priority="29" dxfId="2">
      <formula>C47&lt;D47</formula>
    </cfRule>
    <cfRule type="expression" priority="30" dxfId="3">
      <formula>D47&lt;=C47</formula>
    </cfRule>
  </conditionalFormatting>
  <conditionalFormatting sqref="B48:F48">
    <cfRule type="expression" priority="31" dxfId="2">
      <formula>C48&lt;D48</formula>
    </cfRule>
    <cfRule type="expression" priority="32" dxfId="3">
      <formula>D48&lt;=C48</formula>
    </cfRule>
  </conditionalFormatting>
  <conditionalFormatting sqref="B49:F49">
    <cfRule type="expression" priority="33" dxfId="2">
      <formula>C49&lt;D49</formula>
    </cfRule>
    <cfRule type="expression" priority="34" dxfId="3">
      <formula>D49&lt;=C49</formula>
    </cfRule>
  </conditionalFormatting>
  <conditionalFormatting sqref="B50:F50">
    <cfRule type="expression" priority="35" dxfId="2">
      <formula>C50&lt;D50</formula>
    </cfRule>
    <cfRule type="expression" priority="36" dxfId="3">
      <formula>D50&lt;=C50</formula>
    </cfRule>
  </conditionalFormatting>
  <conditionalFormatting sqref="B51:F51">
    <cfRule type="expression" priority="37" dxfId="2">
      <formula>C51&lt;D51</formula>
    </cfRule>
    <cfRule type="expression" priority="38" dxfId="3">
      <formula>D51&lt;=C51</formula>
    </cfRule>
  </conditionalFormatting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2026-07-01T08:14:36Z</dcterms:created>
  <dcterms:modified xsi:type="dcterms:W3CDTF">2026-07-01T08:14:36Z</dcterms:modified>
</cp:coreProperties>
</file>