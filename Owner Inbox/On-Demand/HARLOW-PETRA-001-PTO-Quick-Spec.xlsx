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F3864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7F6000"/>
      <sz val="10"/>
    </font>
    <font>
      <name val="Calibri"/>
      <color rgb="007F6000"/>
      <sz val="10"/>
    </font>
    <font>
      <name val="Calibri"/>
      <b val="1"/>
      <color rgb="00375623"/>
      <sz val="10"/>
    </font>
    <font>
      <name val="Calibri"/>
      <color rgb="00375623"/>
      <sz val="10"/>
    </font>
    <font>
      <name val="Calibri"/>
      <b val="1"/>
      <color rgb="00843C0C"/>
      <sz val="10"/>
    </font>
    <font>
      <name val="Calibri"/>
      <color rgb="00843C0C"/>
      <sz val="10"/>
    </font>
    <font>
      <name val="Calibri"/>
      <sz val="10"/>
    </font>
    <font>
      <name val="Calibri"/>
      <b val="1"/>
      <color rgb="00FFFFFF"/>
      <sz val="9"/>
    </font>
    <font>
      <name val="Calibri"/>
      <i val="1"/>
      <color rgb="00595959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2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2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2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2" fontId="11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 wrapText="1"/>
    </xf>
    <xf numFmtId="2" fontId="9" fillId="6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 wrapText="1"/>
    </xf>
    <xf numFmtId="49" fontId="9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 wrapText="1"/>
    </xf>
    <xf numFmtId="1" fontId="5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30" customWidth="1" min="2" max="2"/>
    <col width="18" customWidth="1" min="3" max="3"/>
    <col width="10" customWidth="1" min="4" max="4"/>
    <col width="3" customWidth="1" min="5" max="5"/>
    <col width="30" customWidth="1" min="6" max="6"/>
    <col width="18" customWidth="1" min="7" max="7"/>
    <col width="10" customWidth="1" min="8" max="8"/>
  </cols>
  <sheetData>
    <row r="1" ht="28" customHeight="1">
      <c r="B1" s="1" t="inlineStr">
        <is>
          <t>PTO &amp; PTO PUMP — QUICK SPECIFICATION SHEET</t>
        </is>
      </c>
    </row>
    <row r="2" ht="16" customHeight="1">
      <c r="B2" s="2" t="inlineStr">
        <is>
          <t>Fuel Pumping Vehicles — All Makes and Models  |  Yellow = calculated  |  White = enter value  |  Green = PASS  |  Orange = FAIL/CHECK</t>
        </is>
      </c>
    </row>
    <row r="3" ht="6" customHeight="1"/>
    <row r="4" ht="20" customHeight="1">
      <c r="A4" s="3" t="inlineStr">
        <is>
          <t>VEHICLE &amp; JOB</t>
        </is>
      </c>
      <c r="F4" s="3" t="inlineStr">
        <is>
          <t>APPLICATION</t>
        </is>
      </c>
    </row>
    <row r="5" ht="18" customHeight="1">
      <c r="B5" s="4" t="inlineStr">
        <is>
          <t>Vehicle make &amp; model</t>
        </is>
      </c>
      <c r="C5" s="5" t="inlineStr"/>
      <c r="D5" s="6" t="inlineStr"/>
      <c r="E5" s="6" t="inlineStr"/>
      <c r="F5" s="4" t="inlineStr">
        <is>
          <t>Fluid being pumped</t>
        </is>
      </c>
      <c r="G5" s="5" t="inlineStr"/>
      <c r="H5" s="6" t="inlineStr"/>
    </row>
    <row r="6" ht="18" customHeight="1">
      <c r="B6" s="4" t="inlineStr">
        <is>
          <t>Transmission make &amp; model</t>
        </is>
      </c>
      <c r="C6" s="5" t="inlineStr"/>
      <c r="D6" s="6" t="inlineStr"/>
      <c r="E6" s="6" t="inlineStr"/>
      <c r="F6" s="4" t="inlineStr">
        <is>
          <t>ADG class</t>
        </is>
      </c>
      <c r="G6" s="5" t="inlineStr"/>
      <c r="H6" s="6" t="inlineStr"/>
    </row>
    <row r="7" ht="18" customHeight="1">
      <c r="B7" s="4" t="inlineStr">
        <is>
          <t>Engine max power (kW)</t>
        </is>
      </c>
      <c r="C7" s="5" t="inlineStr"/>
      <c r="D7" s="6" t="inlineStr"/>
      <c r="E7" s="6" t="inlineStr"/>
      <c r="F7" s="4" t="inlineStr">
        <is>
          <t>Required flow (L/min)</t>
        </is>
      </c>
      <c r="G7" s="5" t="inlineStr"/>
      <c r="H7" s="6" t="inlineStr"/>
    </row>
    <row r="8" ht="18" customHeight="1">
      <c r="B8" s="4" t="inlineStr">
        <is>
          <t>Engine governed speed (rpm)</t>
        </is>
      </c>
      <c r="C8" s="5" t="inlineStr"/>
      <c r="D8" s="6" t="inlineStr"/>
      <c r="E8" s="6" t="inlineStr"/>
      <c r="F8" s="4" t="inlineStr">
        <is>
          <t>Operating pressure (kPa)</t>
        </is>
      </c>
      <c r="G8" s="5" t="inlineStr"/>
      <c r="H8" s="6" t="inlineStr"/>
    </row>
    <row r="9" ht="18" customHeight="1">
      <c r="B9" s="4" t="inlineStr">
        <is>
          <t>Engine idle speed (rpm)</t>
        </is>
      </c>
      <c r="C9" s="5" t="inlineStr"/>
      <c r="D9" s="6" t="inlineStr"/>
      <c r="E9" s="6" t="inlineStr"/>
      <c r="F9" s="4" t="inlineStr">
        <is>
          <t>Fluid density (kg/m³)</t>
        </is>
      </c>
      <c r="G9" s="5" t="inlineStr"/>
      <c r="H9" s="6" t="inlineStr"/>
    </row>
    <row r="10" ht="18" customHeight="1">
      <c r="B10" s="4" t="inlineStr">
        <is>
          <t>Prepared by</t>
        </is>
      </c>
      <c r="C10" s="5" t="inlineStr"/>
      <c r="D10" s="6" t="inlineStr"/>
      <c r="E10" s="6" t="inlineStr"/>
      <c r="F10" s="4" t="inlineStr">
        <is>
          <t>Fluid vapour pressure at max temp (kPa abs)</t>
        </is>
      </c>
      <c r="G10" s="5" t="inlineStr"/>
      <c r="H10" s="6" t="inlineStr"/>
    </row>
    <row r="11" ht="18" customHeight="1">
      <c r="B11" s="4" t="inlineStr">
        <is>
          <t>Date</t>
        </is>
      </c>
      <c r="C11" s="5" t="inlineStr"/>
      <c r="D11" s="6" t="inlineStr"/>
      <c r="E11" s="6" t="inlineStr"/>
      <c r="F11" s="4" t="inlineStr">
        <is>
          <t>Duty cycle</t>
        </is>
      </c>
      <c r="G11" s="5" t="inlineStr"/>
      <c r="H11" s="6" t="inlineStr"/>
    </row>
    <row r="12" ht="6" customHeight="1"/>
    <row r="13" ht="20" customHeight="1">
      <c r="A13" s="3" t="inlineStr">
        <is>
          <t>POWER CALCULATION</t>
        </is>
      </c>
      <c r="F13" s="3" t="inlineStr">
        <is>
          <t>NPSH CHECK</t>
        </is>
      </c>
    </row>
    <row r="14" ht="18" customHeight="1">
      <c r="B14" s="4" t="inlineStr">
        <is>
          <t>Pump efficiency (gear/vane 0.85, piston 0.90)</t>
        </is>
      </c>
      <c r="C14" s="7" t="n">
        <v>0.85</v>
      </c>
      <c r="D14" s="8" t="inlineStr">
        <is>
          <t>decimal</t>
        </is>
      </c>
      <c r="E14" s="6" t="inlineStr"/>
      <c r="F14" s="4" t="inlineStr">
        <is>
          <t>Atmospheric pressure (std = 101.3)</t>
        </is>
      </c>
      <c r="G14" s="7" t="n">
        <v>101.3</v>
      </c>
      <c r="H14" s="8" t="inlineStr">
        <is>
          <t>kPa abs</t>
        </is>
      </c>
    </row>
    <row r="15" ht="18" customHeight="1">
      <c r="B15" s="4" t="inlineStr">
        <is>
          <t>Service factor (recommend 1.25)</t>
        </is>
      </c>
      <c r="C15" s="7" t="n">
        <v>1.25</v>
      </c>
      <c r="D15" s="8" t="inlineStr"/>
      <c r="E15" s="6" t="inlineStr"/>
      <c r="F15" s="4" t="inlineStr">
        <is>
          <t>Static suction head (+ flooded, − lift)</t>
        </is>
      </c>
      <c r="G15" s="5" t="inlineStr"/>
      <c r="H15" s="8" t="inlineStr">
        <is>
          <t>m</t>
        </is>
      </c>
    </row>
    <row r="16" ht="18" customHeight="1">
      <c r="B16" s="4" t="inlineStr">
        <is>
          <t>Flow (L/min)</t>
        </is>
      </c>
      <c r="C16" s="5" t="inlineStr"/>
      <c r="D16" s="8" t="inlineStr">
        <is>
          <t>L/min</t>
        </is>
      </c>
      <c r="E16" s="6" t="inlineStr"/>
      <c r="F16" s="4" t="inlineStr">
        <is>
          <t>Suction line losses (bends, strainer)</t>
        </is>
      </c>
      <c r="G16" s="5" t="inlineStr"/>
      <c r="H16" s="8" t="inlineStr">
        <is>
          <t>m</t>
        </is>
      </c>
    </row>
    <row r="17" ht="18" customHeight="1">
      <c r="B17" s="4" t="inlineStr">
        <is>
          <t>Operating pressure (kPa)</t>
        </is>
      </c>
      <c r="C17" s="5" t="inlineStr"/>
      <c r="D17" s="8" t="inlineStr">
        <is>
          <t>kPa</t>
        </is>
      </c>
      <c r="E17" s="6" t="inlineStr"/>
      <c r="F17" s="4" t="inlineStr">
        <is>
          <t>Fluid density (kg/m³)</t>
        </is>
      </c>
      <c r="G17" s="5" t="inlineStr"/>
      <c r="H17" s="8" t="inlineStr">
        <is>
          <t>kg/m³</t>
        </is>
      </c>
    </row>
    <row r="18" ht="18" customHeight="1">
      <c r="B18" s="9" t="inlineStr"/>
      <c r="C18" s="5" t="inlineStr"/>
      <c r="D18" s="8" t="inlineStr"/>
      <c r="E18" s="6" t="inlineStr"/>
      <c r="F18" s="4" t="inlineStr">
        <is>
          <t>Vapour pressure at max temp (kPa abs)</t>
        </is>
      </c>
      <c r="G18" s="5" t="inlineStr"/>
      <c r="H18" s="8" t="inlineStr">
        <is>
          <t>kPa abs</t>
        </is>
      </c>
    </row>
    <row r="19" ht="20" customHeight="1">
      <c r="B19" s="10" t="inlineStr">
        <is>
          <t>Pump shaft power</t>
        </is>
      </c>
      <c r="C19" s="11">
        <f>IF(AND(ISNUMBER(C16),ISNUMBER(C17),ISNUMBER(C14)),(C16*C17)/(60000*C14),"—")</f>
        <v/>
      </c>
      <c r="D19" s="12" t="inlineStr">
        <is>
          <t>kW</t>
        </is>
      </c>
      <c r="E19" s="6" t="inlineStr"/>
      <c r="F19" s="10" t="inlineStr">
        <is>
          <t>NPSHA</t>
        </is>
      </c>
      <c r="G19" s="11">
        <f>IF(AND(ISNUMBER(G17),ISNUMBER(G18),ISNUMBER(G15),ISNUMBER(G16)),((G14-G18)*1000/(G17*9.81))+G15-G16,"—")</f>
        <v/>
      </c>
      <c r="H19" s="12" t="inlineStr">
        <is>
          <t>m</t>
        </is>
      </c>
    </row>
    <row r="20" ht="20" customHeight="1">
      <c r="B20" s="13" t="inlineStr">
        <is>
          <t>Min PTO power required</t>
        </is>
      </c>
      <c r="C20" s="14">
        <f>IF(ISNUMBER(C19),C19*C15,"—")</f>
        <v/>
      </c>
      <c r="D20" s="15" t="inlineStr">
        <is>
          <t>kW</t>
        </is>
      </c>
      <c r="E20" s="6" t="inlineStr"/>
      <c r="F20" s="16" t="inlineStr">
        <is>
          <t>Pump NPSHR (from data sheet)</t>
        </is>
      </c>
      <c r="G20" s="17" t="inlineStr"/>
      <c r="H20" s="18" t="inlineStr">
        <is>
          <t>m</t>
        </is>
      </c>
    </row>
    <row r="21" ht="18" customHeight="1">
      <c r="B21" s="9" t="inlineStr"/>
      <c r="C21" s="19" t="inlineStr"/>
      <c r="D21" s="18" t="inlineStr"/>
      <c r="E21" s="6" t="inlineStr"/>
      <c r="F21" s="10" t="inlineStr">
        <is>
          <t>NPSH margin</t>
        </is>
      </c>
      <c r="G21" s="11">
        <f>IF(AND(ISNUMBER(G19),ISNUMBER(G20)),G19-G20,"—")</f>
        <v/>
      </c>
      <c r="H21" s="12" t="inlineStr">
        <is>
          <t>m</t>
        </is>
      </c>
    </row>
    <row r="22" ht="20" customHeight="1">
      <c r="B22" s="9" t="inlineStr"/>
      <c r="C22" s="19" t="inlineStr"/>
      <c r="D22" s="18" t="inlineStr"/>
      <c r="E22" s="6" t="inlineStr"/>
      <c r="F22" s="20" t="inlineStr">
        <is>
          <t>NPSH check</t>
        </is>
      </c>
      <c r="G22" s="21">
        <f>IF(ISNUMBER(G21),IF(G21&gt;=0.5,"✓ PASS","✗ FAIL — redesign"),"—")</f>
        <v/>
      </c>
      <c r="H22" s="22" t="inlineStr"/>
    </row>
    <row r="23" ht="6" customHeight="1"/>
    <row r="24" ht="20" customHeight="1">
      <c r="A24" s="3" t="inlineStr">
        <is>
          <t>PTO SELECTION</t>
        </is>
      </c>
      <c r="F24" s="3" t="inlineStr">
        <is>
          <t>PUMP SIZING</t>
        </is>
      </c>
    </row>
    <row r="25" ht="18" customHeight="1">
      <c r="B25" s="4" t="inlineStr">
        <is>
          <t>Target pump operating speed (rpm)</t>
        </is>
      </c>
      <c r="C25" s="5" t="inlineStr"/>
      <c r="D25" s="8" t="inlineStr">
        <is>
          <t>rpm</t>
        </is>
      </c>
      <c r="E25" s="6" t="inlineStr"/>
      <c r="F25" s="4" t="inlineStr">
        <is>
          <t>Volumetric efficiency (gear/vane 0.90, piston 0.95)</t>
        </is>
      </c>
      <c r="G25" s="7" t="n">
        <v>0.9</v>
      </c>
      <c r="H25" s="8" t="inlineStr">
        <is>
          <t>decimal</t>
        </is>
      </c>
    </row>
    <row r="26" ht="18" customHeight="1">
      <c r="B26" s="4" t="inlineStr">
        <is>
          <t>Engine RPM at operating condition</t>
        </is>
      </c>
      <c r="C26" s="5" t="inlineStr"/>
      <c r="D26" s="8" t="inlineStr">
        <is>
          <t>rpm</t>
        </is>
      </c>
      <c r="E26" s="6" t="inlineStr"/>
      <c r="F26" s="4" t="inlineStr">
        <is>
          <t>Flow required (L/min)</t>
        </is>
      </c>
      <c r="G26" s="5" t="inlineStr"/>
      <c r="H26" s="8" t="inlineStr">
        <is>
          <t>L/min</t>
        </is>
      </c>
    </row>
    <row r="27" ht="18" customHeight="1">
      <c r="B27" s="4" t="inlineStr">
        <is>
          <t>Selected PTO ratio (from appendix)</t>
        </is>
      </c>
      <c r="C27" s="5" t="inlineStr"/>
      <c r="D27" s="8" t="inlineStr">
        <is>
          <t>:1</t>
        </is>
      </c>
      <c r="E27" s="6" t="inlineStr"/>
      <c r="F27" s="10" t="inlineStr">
        <is>
          <t>PTO output speed at operating RPM</t>
        </is>
      </c>
      <c r="G27" s="23">
        <f>IF(AND(ISNUMBER(C26),ISNUMBER(C27)),C26*C27,"—")</f>
        <v/>
      </c>
      <c r="H27" s="12" t="inlineStr">
        <is>
          <t>rpm</t>
        </is>
      </c>
    </row>
    <row r="28" ht="20" customHeight="1">
      <c r="B28" s="10" t="inlineStr">
        <is>
          <t>Required PTO ratio (calculated)</t>
        </is>
      </c>
      <c r="C28" s="24">
        <f>IF(AND(ISNUMBER(C25),ISNUMBER(C26)),C25/C26,"—")</f>
        <v/>
      </c>
      <c r="D28" s="12" t="inlineStr">
        <is>
          <t>:1</t>
        </is>
      </c>
      <c r="E28" s="6" t="inlineStr"/>
      <c r="F28" s="10" t="inlineStr">
        <is>
          <t>Calculated displacement</t>
        </is>
      </c>
      <c r="G28" s="11">
        <f>IF(AND(ISNUMBER(G26),ISNUMBER(G27),ISNUMBER(G25)),(G26*1000)/(G27*G25),"—")</f>
        <v/>
      </c>
      <c r="H28" s="12" t="inlineStr">
        <is>
          <t>cc/rev</t>
        </is>
      </c>
    </row>
    <row r="29" ht="18" customHeight="1">
      <c r="B29" s="4" t="inlineStr">
        <is>
          <t>Transmission PTO torque limit — BBI (Nm)</t>
        </is>
      </c>
      <c r="C29" s="5" t="inlineStr"/>
      <c r="D29" s="8" t="inlineStr">
        <is>
          <t>Nm</t>
        </is>
      </c>
      <c r="E29" s="6" t="inlineStr"/>
      <c r="F29" s="4" t="inlineStr">
        <is>
          <t>Selected pump displacement (catalogue)</t>
        </is>
      </c>
      <c r="G29" s="5" t="inlineStr"/>
      <c r="H29" s="8" t="inlineStr">
        <is>
          <t>cc/rev</t>
        </is>
      </c>
    </row>
    <row r="30" ht="20" customHeight="1">
      <c r="B30" s="10" t="inlineStr">
        <is>
          <t>PTO output torque (with 1.25 SF)</t>
        </is>
      </c>
      <c r="C30" s="11">
        <f>IF(AND(ISNUMBER(C19),ISNUMBER(G27)),C19*9549/G27*C15,"—")</f>
        <v/>
      </c>
      <c r="D30" s="12" t="inlineStr">
        <is>
          <t>Nm</t>
        </is>
      </c>
      <c r="E30" s="6" t="inlineStr"/>
      <c r="F30" s="13" t="inlineStr">
        <is>
          <t>Actual flow at operating speed</t>
        </is>
      </c>
      <c r="G30" s="14">
        <f>IF(AND(ISNUMBER(G29),ISNUMBER(G27),ISNUMBER(G25)),G29*G27*G25/1000,"—")</f>
        <v/>
      </c>
      <c r="H30" s="15" t="inlineStr">
        <is>
          <t>L/min</t>
        </is>
      </c>
    </row>
    <row r="31" ht="20" customHeight="1">
      <c r="B31" s="20" t="inlineStr">
        <is>
          <t>Torque check</t>
        </is>
      </c>
      <c r="C31" s="21">
        <f>IF(AND(ISNUMBER(C30),ISNUMBER(C29)),IF(C29&gt;C30,"✓ PASS","✗ FAIL — review"),"—")</f>
        <v/>
      </c>
      <c r="D31" s="22" t="inlineStr"/>
      <c r="E31" s="6" t="inlineStr"/>
      <c r="F31" s="10" t="inlineStr">
        <is>
          <t>PTO idle speed check</t>
        </is>
      </c>
      <c r="G31" s="11">
        <f>IF(AND(ISNUMBER(C9),ISNUMBER(C27)),C9*C27,"—")</f>
        <v/>
      </c>
      <c r="H31" s="12" t="inlineStr">
        <is>
          <t>rpm @ idle</t>
        </is>
      </c>
    </row>
    <row r="32" ht="6" customHeight="1"/>
    <row r="33" ht="20" customHeight="1">
      <c r="A33" s="3" t="inlineStr">
        <is>
          <t>SELECTION RECORD &amp; SIGN-OFF</t>
        </is>
      </c>
    </row>
    <row r="34" ht="24" customHeight="1">
      <c r="A34" s="25" t="inlineStr"/>
      <c r="B34" s="25" t="inlineStr">
        <is>
          <t>PTO</t>
        </is>
      </c>
      <c r="C34" s="25" t="inlineStr"/>
      <c r="D34" s="25" t="inlineStr"/>
      <c r="E34" s="25" t="inlineStr"/>
      <c r="F34" s="25" t="inlineStr">
        <is>
          <t>PUMP</t>
        </is>
      </c>
      <c r="G34" s="25" t="inlineStr"/>
      <c r="H34" s="25" t="inlineStr"/>
    </row>
    <row r="35" ht="18" customHeight="1">
      <c r="B35" s="4" t="inlineStr">
        <is>
          <t>Make</t>
        </is>
      </c>
      <c r="C35" s="5" t="inlineStr"/>
      <c r="D35" s="9" t="inlineStr"/>
      <c r="E35" s="6" t="inlineStr"/>
      <c r="F35" s="4" t="inlineStr">
        <is>
          <t>Make</t>
        </is>
      </c>
      <c r="G35" s="5" t="inlineStr"/>
      <c r="H35" s="9" t="inlineStr"/>
    </row>
    <row r="36" ht="18" customHeight="1">
      <c r="B36" s="4" t="inlineStr">
        <is>
          <t>Model / part no.</t>
        </is>
      </c>
      <c r="C36" s="5" t="inlineStr"/>
      <c r="D36" s="9" t="inlineStr"/>
      <c r="E36" s="6" t="inlineStr"/>
      <c r="F36" s="4" t="inlineStr">
        <is>
          <t>Model / part no.</t>
        </is>
      </c>
      <c r="G36" s="5" t="inlineStr"/>
      <c r="H36" s="9" t="inlineStr"/>
    </row>
    <row r="37" ht="18" customHeight="1">
      <c r="B37" s="4" t="inlineStr">
        <is>
          <t>Ratio / displacement</t>
        </is>
      </c>
      <c r="C37" s="5" t="inlineStr"/>
      <c r="D37" s="9" t="inlineStr"/>
      <c r="E37" s="6" t="inlineStr"/>
      <c r="F37" s="4" t="inlineStr">
        <is>
          <t>Type</t>
        </is>
      </c>
      <c r="G37" s="5" t="inlineStr"/>
      <c r="H37" s="9" t="inlineStr"/>
    </row>
    <row r="38" ht="18" customHeight="1">
      <c r="B38" s="4" t="inlineStr">
        <is>
          <t>Mounting position</t>
        </is>
      </c>
      <c r="C38" s="5" t="inlineStr"/>
      <c r="D38" s="9" t="inlineStr"/>
      <c r="E38" s="6" t="inlineStr"/>
      <c r="F38" s="4" t="inlineStr">
        <is>
          <t>Seal material</t>
        </is>
      </c>
      <c r="G38" s="5" t="inlineStr"/>
      <c r="H38" s="9" t="inlineStr"/>
    </row>
    <row r="39" ht="18" customHeight="1">
      <c r="B39" s="4" t="inlineStr">
        <is>
          <t>Engagement method</t>
        </is>
      </c>
      <c r="C39" s="5" t="inlineStr"/>
      <c r="D39" s="9" t="inlineStr"/>
      <c r="E39" s="6" t="inlineStr"/>
      <c r="F39" s="4" t="inlineStr">
        <is>
          <t>Drive / SAE flange</t>
        </is>
      </c>
      <c r="G39" s="5" t="inlineStr"/>
      <c r="H39" s="9" t="inlineStr"/>
    </row>
    <row r="40" ht="18" customHeight="1">
      <c r="B40" s="4" t="inlineStr">
        <is>
          <t>BBI approval ref.</t>
        </is>
      </c>
      <c r="C40" s="5" t="inlineStr"/>
      <c r="D40" s="9" t="inlineStr"/>
      <c r="E40" s="6" t="inlineStr"/>
      <c r="F40" s="4" t="inlineStr">
        <is>
          <t>Fluid compatibility confirmed</t>
        </is>
      </c>
      <c r="G40" s="5" t="inlineStr"/>
      <c r="H40" s="9" t="inlineStr"/>
    </row>
    <row r="41" ht="6" customHeight="1"/>
    <row r="42" ht="24" customHeight="1">
      <c r="A42" s="25" t="inlineStr"/>
      <c r="B42" s="25" t="inlineStr">
        <is>
          <t>Prepared by</t>
        </is>
      </c>
      <c r="C42" s="25" t="inlineStr">
        <is>
          <t>Reviewed by</t>
        </is>
      </c>
      <c r="D42" s="25" t="inlineStr">
        <is>
          <t>Approved by</t>
        </is>
      </c>
      <c r="E42" s="25" t="inlineStr"/>
      <c r="F42" s="25" t="inlineStr"/>
      <c r="G42" s="25" t="inlineStr"/>
      <c r="H42" s="25" t="inlineStr"/>
    </row>
    <row r="43" ht="18" customHeight="1">
      <c r="B43" s="4" t="inlineStr">
        <is>
          <t>Name</t>
        </is>
      </c>
      <c r="C43" s="5" t="inlineStr"/>
      <c r="D43" s="5" t="inlineStr"/>
      <c r="E43" s="6" t="inlineStr"/>
      <c r="F43" s="9" t="inlineStr"/>
      <c r="G43" s="9" t="inlineStr"/>
      <c r="H43" s="9" t="inlineStr"/>
    </row>
    <row r="44" ht="18" customHeight="1">
      <c r="B44" s="4" t="inlineStr">
        <is>
          <t>Date</t>
        </is>
      </c>
      <c r="C44" s="5" t="inlineStr"/>
      <c r="D44" s="5" t="inlineStr"/>
      <c r="E44" s="6" t="inlineStr"/>
      <c r="F44" s="9" t="inlineStr"/>
      <c r="G44" s="9" t="inlineStr"/>
      <c r="H44" s="9" t="inlineStr"/>
    </row>
    <row r="46" ht="24" customHeight="1">
      <c r="B46" s="26" t="inlineStr">
        <is>
          <t>Harlow + Petra — The Works  |  For detailed guidance, use HARLOW-PETRA-001-PTO-Specification-Template.xlsx  |  Verify all calculations against current OEM BBI and applicable Australian Standards.</t>
        </is>
      </c>
    </row>
  </sheetData>
  <mergeCells count="10">
    <mergeCell ref="B1:H1"/>
    <mergeCell ref="F13:H13"/>
    <mergeCell ref="A4:D4"/>
    <mergeCell ref="B2:H2"/>
    <mergeCell ref="F4:H4"/>
    <mergeCell ref="A24:D24"/>
    <mergeCell ref="A33:H33"/>
    <mergeCell ref="A13:D13"/>
    <mergeCell ref="F24:H24"/>
    <mergeCell ref="B46:H4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2026-06-09T03:50:44Z</dcterms:created>
  <dcterms:modified xmlns:dcterms="http://purl.org/dc/terms/" xmlns:xsi="http://www.w3.org/2001/XMLSchema-instance" xsi:type="dcterms:W3CDTF">2026-06-09T03:50:44Z</dcterms:modified>
</cp:coreProperties>
</file>